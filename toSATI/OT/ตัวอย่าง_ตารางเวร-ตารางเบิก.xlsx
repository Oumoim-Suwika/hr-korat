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1.แบบฟอร์ม แจ้งเวียน\แบบฟอร์ม การเงิน\4. ฟอร์มเบิก_ค่าตอบแทน\ค่าตอบแทน นอกเวลาราชการ (OT)\"/>
    </mc:Choice>
  </mc:AlternateContent>
  <xr:revisionPtr revIDLastSave="0" documentId="13_ncr:1_{002DF788-C65A-4A9C-B9E0-64FE44F64FBB}" xr6:coauthVersionLast="43" xr6:coauthVersionMax="43" xr10:uidLastSave="{00000000-0000-0000-0000-000000000000}"/>
  <bookViews>
    <workbookView xWindow="-120" yWindow="-120" windowWidth="29040" windowHeight="15840" xr2:uid="{49C7CF13-3E74-4A75-93E3-8AAB517A5542}"/>
  </bookViews>
  <sheets>
    <sheet name="ขอขึ้น OT" sheetId="1" r:id="rId1"/>
    <sheet name="ขอขึ้น OT (ผลัด)" sheetId="7" r:id="rId2"/>
    <sheet name="ขอเบิก OT (ผลัด8)" sheetId="8" r:id="rId3"/>
    <sheet name="ขอเบิก OT สนับสนุน" sheetId="2" r:id="rId4"/>
    <sheet name="ขอเบิก OT หัตถการ (แพทย์)" sheetId="10" r:id="rId5"/>
    <sheet name="ขอเบิก OT WL (พยาบาล)" sheetId="12" r:id="rId6"/>
    <sheet name="ขอเบิก OT จนท.นับชม." sheetId="13" r:id="rId7"/>
    <sheet name="ใบลงเวลา" sheetId="6" r:id="rId8"/>
    <sheet name="ใบเปลี่ยนเวร" sheetId="5" r:id="rId9"/>
  </sheets>
  <definedNames>
    <definedName name="_xlnm.Print_Area" localSheetId="2">'ขอเบิก OT (ผลัด8)'!$A$1:$AO$30</definedName>
    <definedName name="_xlnm.Print_Area" localSheetId="5">'ขอเบิก OT WL (พยาบาล)'!$A$1:$AO$33</definedName>
    <definedName name="_xlnm.Print_Area" localSheetId="6">'ขอเบิก OT จนท.นับชม.'!$A$1:$AP$33</definedName>
    <definedName name="_xlnm.Print_Area" localSheetId="3">'ขอเบิก OT สนับสนุน'!$A$1:$AP$30</definedName>
    <definedName name="_xlnm.Print_Area" localSheetId="4">'ขอเบิก OT หัตถการ (แพทย์)'!$A$1:$AP$31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X11" i="13" l="1"/>
  <c r="AW11" i="13"/>
  <c r="BA11" i="13" s="1"/>
  <c r="AV11" i="13"/>
  <c r="AU11" i="13"/>
  <c r="AT11" i="13"/>
  <c r="AY11" i="13" s="1"/>
  <c r="AS11" i="13"/>
  <c r="AZ11" i="13" s="1"/>
  <c r="AR11" i="13"/>
  <c r="AW9" i="13"/>
  <c r="BA9" i="13" s="1"/>
  <c r="AV9" i="13"/>
  <c r="AU9" i="13"/>
  <c r="AT9" i="13"/>
  <c r="AY9" i="13" s="1"/>
  <c r="AS9" i="13"/>
  <c r="AZ9" i="13" s="1"/>
  <c r="AR9" i="13"/>
  <c r="AX9" i="13" s="1"/>
  <c r="AL6" i="13"/>
  <c r="AL8" i="13"/>
  <c r="AM8" i="13" s="1"/>
  <c r="AL10" i="13"/>
  <c r="AM10" i="13" s="1"/>
  <c r="AW7" i="13"/>
  <c r="BA7" i="13" s="1"/>
  <c r="AV7" i="13"/>
  <c r="AU7" i="13"/>
  <c r="AT7" i="13"/>
  <c r="AS7" i="13"/>
  <c r="AR7" i="13"/>
  <c r="AM6" i="13"/>
  <c r="Q14" i="12"/>
  <c r="AM9" i="12"/>
  <c r="AM6" i="12"/>
  <c r="AL6" i="12"/>
  <c r="AL9" i="12"/>
  <c r="AV9" i="12"/>
  <c r="AZ9" i="12" s="1"/>
  <c r="AU9" i="12"/>
  <c r="AT9" i="12"/>
  <c r="AS9" i="12"/>
  <c r="AR9" i="12"/>
  <c r="AQ9" i="12"/>
  <c r="AV6" i="12"/>
  <c r="AZ6" i="12" s="1"/>
  <c r="AU6" i="12"/>
  <c r="AT6" i="12"/>
  <c r="AS6" i="12"/>
  <c r="AR6" i="12"/>
  <c r="AQ6" i="12"/>
  <c r="AM6" i="8"/>
  <c r="AV6" i="8"/>
  <c r="AZ6" i="8" s="1"/>
  <c r="AV7" i="8"/>
  <c r="AZ7" i="8" s="1"/>
  <c r="AV8" i="8"/>
  <c r="AZ8" i="8" s="1"/>
  <c r="AL11" i="13" l="1"/>
  <c r="AM11" i="13" s="1"/>
  <c r="AL9" i="13"/>
  <c r="AM9" i="13" s="1"/>
  <c r="AN8" i="13" s="1"/>
  <c r="AZ7" i="13"/>
  <c r="AX7" i="13"/>
  <c r="AX14" i="13" s="1"/>
  <c r="AX3" i="13" s="1"/>
  <c r="AY7" i="13"/>
  <c r="AN10" i="13"/>
  <c r="BA14" i="13"/>
  <c r="BA3" i="13" s="1"/>
  <c r="AY9" i="12"/>
  <c r="AX6" i="12"/>
  <c r="AX9" i="12"/>
  <c r="AW9" i="12"/>
  <c r="AW6" i="12"/>
  <c r="AY6" i="12"/>
  <c r="AL12" i="12"/>
  <c r="AZ14" i="12"/>
  <c r="AZ3" i="12" s="1"/>
  <c r="AM12" i="12"/>
  <c r="F14" i="12" s="1"/>
  <c r="AZ11" i="8"/>
  <c r="AZ3" i="8" s="1"/>
  <c r="AM8" i="10"/>
  <c r="AM7" i="10"/>
  <c r="AM6" i="10"/>
  <c r="AM10" i="10" l="1"/>
  <c r="F12" i="10" s="1"/>
  <c r="AZ14" i="13"/>
  <c r="AZ3" i="13" s="1"/>
  <c r="AY14" i="13"/>
  <c r="AY3" i="13" s="1"/>
  <c r="AL7" i="13"/>
  <c r="AY14" i="12"/>
  <c r="AY3" i="12" s="1"/>
  <c r="AX14" i="12"/>
  <c r="AX3" i="12" s="1"/>
  <c r="AW14" i="12"/>
  <c r="AW3" i="12" s="1"/>
  <c r="AN6" i="10"/>
  <c r="AM7" i="13" l="1"/>
  <c r="AL12" i="13"/>
  <c r="AL8" i="10"/>
  <c r="AL7" i="10"/>
  <c r="AL6" i="10"/>
  <c r="AW9" i="10"/>
  <c r="BA9" i="10" s="1"/>
  <c r="AV9" i="10"/>
  <c r="AU9" i="10"/>
  <c r="AT9" i="10"/>
  <c r="AS9" i="10"/>
  <c r="AR9" i="10"/>
  <c r="AW6" i="10"/>
  <c r="BA6" i="10" s="1"/>
  <c r="AV6" i="10"/>
  <c r="AU6" i="10"/>
  <c r="AT6" i="10"/>
  <c r="AS6" i="10"/>
  <c r="AR6" i="10"/>
  <c r="AM12" i="13" l="1"/>
  <c r="F14" i="13" s="1"/>
  <c r="Q14" i="13" s="1"/>
  <c r="AN6" i="13"/>
  <c r="AN12" i="13" s="1"/>
  <c r="AX6" i="10"/>
  <c r="AY9" i="10"/>
  <c r="AZ9" i="10"/>
  <c r="AY6" i="10"/>
  <c r="AZ6" i="10"/>
  <c r="AX9" i="10"/>
  <c r="BA12" i="10"/>
  <c r="BA3" i="10" s="1"/>
  <c r="AU8" i="8"/>
  <c r="AT8" i="8"/>
  <c r="AS8" i="8"/>
  <c r="AR8" i="8"/>
  <c r="AQ8" i="8"/>
  <c r="AL7" i="8"/>
  <c r="AU7" i="8"/>
  <c r="AT7" i="8"/>
  <c r="AS7" i="8"/>
  <c r="AR7" i="8"/>
  <c r="AQ7" i="8"/>
  <c r="AL6" i="8"/>
  <c r="AU6" i="8"/>
  <c r="AT6" i="8"/>
  <c r="AS6" i="8"/>
  <c r="AR6" i="8"/>
  <c r="AQ6" i="8"/>
  <c r="AW6" i="8" l="1"/>
  <c r="AX12" i="10"/>
  <c r="AX3" i="10" s="1"/>
  <c r="AY12" i="10"/>
  <c r="AY3" i="10" s="1"/>
  <c r="AZ12" i="10"/>
  <c r="AZ3" i="10" s="1"/>
  <c r="AN10" i="10"/>
  <c r="Q12" i="10" s="1"/>
  <c r="AL10" i="10"/>
  <c r="AX7" i="8"/>
  <c r="AW7" i="8"/>
  <c r="AL9" i="8"/>
  <c r="AW8" i="8"/>
  <c r="AX8" i="8"/>
  <c r="AY8" i="8"/>
  <c r="AY7" i="8"/>
  <c r="AY6" i="8"/>
  <c r="AX6" i="8"/>
  <c r="AW8" i="2"/>
  <c r="BA8" i="2" s="1"/>
  <c r="AV8" i="2"/>
  <c r="AU8" i="2"/>
  <c r="AT8" i="2"/>
  <c r="AY8" i="2" s="1"/>
  <c r="AS8" i="2"/>
  <c r="AR8" i="2"/>
  <c r="AW7" i="2"/>
  <c r="BA7" i="2" s="1"/>
  <c r="AM7" i="2" s="1"/>
  <c r="AV7" i="2"/>
  <c r="AU7" i="2"/>
  <c r="AT7" i="2"/>
  <c r="AS7" i="2"/>
  <c r="AR7" i="2"/>
  <c r="AW6" i="2"/>
  <c r="BA6" i="2" s="1"/>
  <c r="AV6" i="2"/>
  <c r="AU6" i="2"/>
  <c r="AT6" i="2"/>
  <c r="AS6" i="2"/>
  <c r="AR6" i="2"/>
  <c r="AK6" i="8" l="1"/>
  <c r="AW11" i="8"/>
  <c r="AW3" i="8" s="1"/>
  <c r="AK7" i="8"/>
  <c r="AM7" i="8" s="1"/>
  <c r="AX11" i="8"/>
  <c r="AX3" i="8" s="1"/>
  <c r="AY11" i="8"/>
  <c r="AY3" i="8" s="1"/>
  <c r="AX6" i="2"/>
  <c r="AX8" i="2"/>
  <c r="AY7" i="2"/>
  <c r="AL7" i="2" s="1"/>
  <c r="AN7" i="2" s="1"/>
  <c r="AY6" i="2"/>
  <c r="AL6" i="2" s="1"/>
  <c r="AX7" i="2"/>
  <c r="AZ6" i="2"/>
  <c r="AZ8" i="2"/>
  <c r="BA11" i="2"/>
  <c r="BA3" i="2" s="1"/>
  <c r="AM6" i="2"/>
  <c r="AZ7" i="2"/>
  <c r="AM9" i="8" l="1"/>
  <c r="P11" i="8" s="1"/>
  <c r="AK9" i="8"/>
  <c r="AX11" i="2"/>
  <c r="AX3" i="2" s="1"/>
  <c r="AN6" i="2"/>
  <c r="AN9" i="2" s="1"/>
  <c r="Q11" i="2" s="1"/>
  <c r="AL9" i="2"/>
  <c r="AM9" i="2"/>
  <c r="AY11" i="2"/>
  <c r="AY3" i="2" s="1"/>
  <c r="AZ11" i="2"/>
  <c r="AZ3" i="2" s="1"/>
  <c r="E11" i="8" l="1"/>
</calcChain>
</file>

<file path=xl/sharedStrings.xml><?xml version="1.0" encoding="utf-8"?>
<sst xmlns="http://schemas.openxmlformats.org/spreadsheetml/2006/main" count="681" uniqueCount="125">
  <si>
    <t>ตารางปฏิบัติงาน ประจำเดือน ตุลาคม 2567</t>
  </si>
  <si>
    <t>ชื่อ - นามสกุล</t>
  </si>
  <si>
    <t>ตำแหน่ง</t>
  </si>
  <si>
    <t>วันที่ปฏิบัติงาน</t>
  </si>
  <si>
    <t>หมายเหตุ</t>
  </si>
  <si>
    <t>จ</t>
  </si>
  <si>
    <t>อ</t>
  </si>
  <si>
    <t>พ</t>
  </si>
  <si>
    <t>พฤ</t>
  </si>
  <si>
    <t>ศ</t>
  </si>
  <si>
    <t>ส</t>
  </si>
  <si>
    <t>อา</t>
  </si>
  <si>
    <t xml:space="preserve">พ </t>
  </si>
  <si>
    <t>จพ.การเงินและบัญชี</t>
  </si>
  <si>
    <t>BD</t>
  </si>
  <si>
    <t>ชot</t>
  </si>
  <si>
    <t>ช</t>
  </si>
  <si>
    <t>ออฟ</t>
  </si>
  <si>
    <t>(ลงชื่อ)....................................................หัวหน้าผู้ควบคุม</t>
  </si>
  <si>
    <t>(ลงชื่อ)............................................ผู้อนุมัติ</t>
  </si>
  <si>
    <t>(นางสาววรรณทิพย์  รีพล)</t>
  </si>
  <si>
    <t>(นางนฤมล  ศรีสรรพ์)</t>
  </si>
  <si>
    <t>นักวิชาการเงินและบัญชีชำนาญการ</t>
  </si>
  <si>
    <t>รองผู้อำนวยการฝ่ายบริหาร</t>
  </si>
  <si>
    <t>หัวหน้ากลุ่มงานการเงิน</t>
  </si>
  <si>
    <t>นางสาวดินสอ</t>
  </si>
  <si>
    <t>ระบายสี</t>
  </si>
  <si>
    <t>นายต้นไม้</t>
  </si>
  <si>
    <t>ยืนต้น</t>
  </si>
  <si>
    <t>นักวิชาการเงินและบัญชี</t>
  </si>
  <si>
    <t>ปฏิบัติงานวันทำการในเวลาราชการ  08.30 - 16.30 น.</t>
  </si>
  <si>
    <t>ปฏิบัติงานนอกเวลาราชการ  16.30-20.30 น.</t>
  </si>
  <si>
    <t>ปฏิบัติงานวันหยุดราชการ  08.30 - 16.30 น.</t>
  </si>
  <si>
    <t>รวมทั้งหมด</t>
  </si>
  <si>
    <t>ยน</t>
  </si>
  <si>
    <t>ด</t>
  </si>
  <si>
    <t>บ</t>
  </si>
  <si>
    <t>เบิกตามฎีกา……………………………………………………..วันที่………….เดือน…….......……………พ.ศ…………………</t>
  </si>
  <si>
    <t>ลำดับที่</t>
  </si>
  <si>
    <t>ชื่อ - สกุล</t>
  </si>
  <si>
    <t>อัตราเบิก</t>
  </si>
  <si>
    <t>วันที่ปฏิบัติงานนอกเวลาราชการ</t>
  </si>
  <si>
    <t>รวมเวร</t>
  </si>
  <si>
    <t>จำนวน</t>
  </si>
  <si>
    <t>วดป.</t>
  </si>
  <si>
    <t>ลายมือชื่อ</t>
  </si>
  <si>
    <t>ด/บ</t>
  </si>
  <si>
    <t>ช/บ</t>
  </si>
  <si>
    <t>รวม</t>
  </si>
  <si>
    <t>เงิน</t>
  </si>
  <si>
    <t>ที่รับเงิน</t>
  </si>
  <si>
    <t>ผู้รับเงิน</t>
  </si>
  <si>
    <t>รวมเป็นเงิน</t>
  </si>
  <si>
    <t>รวมจ่ายเงินทั้งสิ้น (ตัวอักษร)</t>
  </si>
  <si>
    <t>ลงชื่อ…………………..........…………….หัวหน้าผู้ควบคุม</t>
  </si>
  <si>
    <t>ลงชื่อ........................................................ผู้จ่ายเงิน</t>
  </si>
  <si>
    <t xml:space="preserve">      (.....................................................)</t>
  </si>
  <si>
    <t>ลงชื่อ…………………..........…………….</t>
  </si>
  <si>
    <t>ขอรับรองว่าผู้ที่รับเงินค่าตอบแทนการปฏิบัติงานนอกเวลาราชการดังกล่าว ได้ปฏิบัติงานนอกเวลาราชการจริง</t>
  </si>
  <si>
    <t>ผ่านรองภารกิจฯ</t>
  </si>
  <si>
    <t xml:space="preserve">   (นางสาววรรณทิพย์  รีพล)</t>
  </si>
  <si>
    <t>หลักฐานกาจ่ายเงินค่าตอบแทนการปฏิบัติงานนอกเวลาราชการ</t>
  </si>
  <si>
    <t>ที่</t>
  </si>
  <si>
    <t>ลายเซ็น</t>
  </si>
  <si>
    <t>ข้าพเจ้า</t>
  </si>
  <si>
    <t>ขออนุญาตเปลี่ยนเวร</t>
  </si>
  <si>
    <t>เวลา</t>
  </si>
  <si>
    <t xml:space="preserve">วันที่ </t>
  </si>
  <si>
    <t>เหตุผลที่ขอเปลี่ยนเวร</t>
  </si>
  <si>
    <t>โดยขอมอบหมายให้</t>
  </si>
  <si>
    <t>ขึ้นปฏิบัติหน้าที่แทน</t>
  </si>
  <si>
    <t>ลงชื่อ</t>
  </si>
  <si>
    <t>ผู้ขอเปลี่ยนเวร</t>
  </si>
  <si>
    <t>ผู้รับเปลี่ยนเวร</t>
  </si>
  <si>
    <t>ความเห็นผู้ควบคุม</t>
  </si>
  <si>
    <t>ลงชื่อ..............................................................</t>
  </si>
  <si>
    <r>
      <rPr>
        <sz val="14"/>
        <color theme="1"/>
        <rFont val="Wingdings"/>
        <charset val="2"/>
      </rPr>
      <t>m</t>
    </r>
    <r>
      <rPr>
        <sz val="14"/>
        <color theme="1"/>
        <rFont val="TH SarabunPSK"/>
        <family val="2"/>
      </rPr>
      <t xml:space="preserve"> อนุญาต         </t>
    </r>
  </si>
  <si>
    <r>
      <rPr>
        <sz val="14"/>
        <color theme="1"/>
        <rFont val="Wingdings"/>
        <charset val="2"/>
      </rPr>
      <t>m</t>
    </r>
    <r>
      <rPr>
        <sz val="14"/>
        <color theme="1"/>
        <rFont val="TH SarabunPSK"/>
        <family val="2"/>
      </rPr>
      <t xml:space="preserve"> ไม่อนุญาต</t>
    </r>
  </si>
  <si>
    <t>(.................................................................)</t>
  </si>
  <si>
    <t>วันที่.................เดือน..............................พ.ศ. .....................</t>
  </si>
  <si>
    <t>ที่.......................................................</t>
  </si>
  <si>
    <t>แบบฟอร์มใบเปลี่ยนเวร</t>
  </si>
  <si>
    <t>บัญชีลงเวลาปฏิบัติงานนอกเวลาราชการ โรงพยาบาลมหาราชนครราชสีมา</t>
  </si>
  <si>
    <t>ประจำเดือน..........................................................</t>
  </si>
  <si>
    <t>วัน เดือน ปี</t>
  </si>
  <si>
    <t>เวลามา</t>
  </si>
  <si>
    <t>เวลากลับ</t>
  </si>
  <si>
    <t>ลงชื่อ.................................................หัวหน้าผู้ควบคุม</t>
  </si>
  <si>
    <t>กลุ่มงาน..............................................</t>
  </si>
  <si>
    <t>บot</t>
  </si>
  <si>
    <t>รวมจ่ายเงินทั้งสิ้น</t>
  </si>
  <si>
    <t>บาท</t>
  </si>
  <si>
    <t>จำนวนเงิน (ตัวอักษร)</t>
  </si>
  <si>
    <t>ดot</t>
  </si>
  <si>
    <t>(.....................................................)</t>
  </si>
  <si>
    <t>.............................................................</t>
  </si>
  <si>
    <t>หัวหน้ากลุ่มงาน...................................</t>
  </si>
  <si>
    <t>หลักฐานการจ่ายเงินค่าตอบแทนการปฏิบัติงานนอกเวลาราชการ</t>
  </si>
  <si>
    <t>นายแพทย์</t>
  </si>
  <si>
    <t>เวลาปฏิบัติงาน</t>
  </si>
  <si>
    <t xml:space="preserve">   (........................................................)</t>
  </si>
  <si>
    <t>หัวหน้ากลุ่มงาน.....................</t>
  </si>
  <si>
    <t>(.......................................................)</t>
  </si>
  <si>
    <t>รองผู้อำนวยการ....................................</t>
  </si>
  <si>
    <t>ด (24.00-08.00)</t>
  </si>
  <si>
    <t>ช (08.00-16.00)</t>
  </si>
  <si>
    <t>บ (16.00-24.00)</t>
  </si>
  <si>
    <t>พยาบาลวิชาชีพ</t>
  </si>
  <si>
    <t>ผู้ช่วยพยาบาล</t>
  </si>
  <si>
    <r>
      <t xml:space="preserve">ส่วนราชการ </t>
    </r>
    <r>
      <rPr>
        <sz val="16"/>
        <color rgb="FFFF0000"/>
        <rFont val="TH SarabunPSK"/>
        <family val="2"/>
      </rPr>
      <t>กลุ่มงานการเงิน (U01)</t>
    </r>
    <r>
      <rPr>
        <sz val="16"/>
        <rFont val="TH SarabunPSK"/>
        <family val="2"/>
      </rPr>
      <t xml:space="preserve"> โรงพยาบาลมหาราชนครราชสีมา ประจำเดือน </t>
    </r>
    <r>
      <rPr>
        <sz val="16"/>
        <color rgb="FFFF0000"/>
        <rFont val="TH SarabunPSK"/>
        <family val="2"/>
      </rPr>
      <t>ตุลาคม พ.ศ. 2567</t>
    </r>
  </si>
  <si>
    <t>ผ่านรองฯ</t>
  </si>
  <si>
    <t>ปฏิบัติราชการแทน ผู้อำนวยการโรงพยาบาลมหาราชนครราชสีมา</t>
  </si>
  <si>
    <r>
      <rPr>
        <b/>
        <sz val="16"/>
        <color rgb="FFFF0000"/>
        <rFont val="TH SarabunPSK"/>
        <family val="2"/>
      </rPr>
      <t>กลุ่มงานการเงิน (U01)</t>
    </r>
    <r>
      <rPr>
        <b/>
        <sz val="16"/>
        <rFont val="TH SarabunPSK"/>
        <family val="2"/>
      </rPr>
      <t xml:space="preserve"> โรงพยาบาลมหาราชนครราชสีมา  </t>
    </r>
  </si>
  <si>
    <t>WL</t>
  </si>
  <si>
    <t>พนักงานช่วยเหลือคนไข้</t>
  </si>
  <si>
    <t>พนักงานช่วยการพยาบาล</t>
  </si>
  <si>
    <t>ร , เวร</t>
  </si>
  <si>
    <t>BD = 16.00-20.00 น.</t>
  </si>
  <si>
    <t>(นางสาว............................................)</t>
  </si>
  <si>
    <r>
      <t xml:space="preserve">ส่วนราชการ </t>
    </r>
    <r>
      <rPr>
        <sz val="16"/>
        <color rgb="FFFF0000"/>
        <rFont val="TH SarabunPSK"/>
        <family val="2"/>
      </rPr>
      <t>กลุ่มงาน.......................... (รหัส..........)</t>
    </r>
    <r>
      <rPr>
        <sz val="16"/>
        <rFont val="TH SarabunPSK"/>
        <family val="2"/>
      </rPr>
      <t xml:space="preserve"> โรงพยาบาลมหาราชนครราชสีมา ประจำเดือน </t>
    </r>
    <r>
      <rPr>
        <sz val="16"/>
        <color rgb="FFFF0000"/>
        <rFont val="TH SarabunPSK"/>
        <family val="2"/>
      </rPr>
      <t>................... พ.ศ. ..................</t>
    </r>
  </si>
  <si>
    <r>
      <t xml:space="preserve">ส่วนราชการ </t>
    </r>
    <r>
      <rPr>
        <sz val="16"/>
        <color rgb="FFFF0000"/>
        <rFont val="TH SarabunPSK"/>
        <family val="2"/>
      </rPr>
      <t xml:space="preserve">กลุ่มงาน.......................... (รหัส..........) </t>
    </r>
    <r>
      <rPr>
        <sz val="16"/>
        <rFont val="TH SarabunPSK"/>
        <family val="2"/>
      </rPr>
      <t xml:space="preserve">โรงพยาบาลมหาราชนครราชสีมา ประจำเดือน </t>
    </r>
    <r>
      <rPr>
        <sz val="16"/>
        <color rgb="FFFF0000"/>
        <rFont val="TH SarabunPSK"/>
        <family val="2"/>
      </rPr>
      <t>................... พ.ศ. ..................</t>
    </r>
  </si>
  <si>
    <t>ปฏิบัติงานใน/นอกเวลาราชการ เวลา 24.00-08.00 น.</t>
  </si>
  <si>
    <t>ปฏิบัติงานใน/นอกเวลาราชการ เวลา 08.00-16.00 น.</t>
  </si>
  <si>
    <t>ปฏิบัติงานใน/นอกเวลาราชการ เวลา 16.00-24.00 น.</t>
  </si>
  <si>
    <t>หมายเหตุ : เบิกตามเวลาที่ขึ้นปฏิบัติงานจริง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</si>
</sst>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#,##0.00_ ;[Red]\-#,##0.00\ "/>
    <numFmt numFmtId="188" formatCode="#,##0;\-#,##0;&quot;-&quot;"/>
  </numFmts>
  <fonts count="27" x14ac:knownFonts="1"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sz val="11"/>
      <name val="TH SarabunPSK"/>
      <family val="2"/>
    </font>
    <font>
      <sz val="12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sz val="16"/>
      <name val="AngsanaUPC"/>
      <family val="1"/>
      <charset val="222"/>
    </font>
    <font>
      <sz val="14"/>
      <name val="TH SarabunPSK"/>
      <family val="2"/>
    </font>
    <font>
      <sz val="10"/>
      <name val="TH SarabunPSK"/>
      <family val="2"/>
    </font>
    <font>
      <sz val="15"/>
      <name val="TH SarabunPSK"/>
      <family val="2"/>
    </font>
    <font>
      <sz val="18"/>
      <name val="TH SarabunPSK"/>
      <family val="2"/>
    </font>
    <font>
      <sz val="14"/>
      <name val="Angsana New"/>
      <family val="1"/>
    </font>
    <font>
      <b/>
      <sz val="14"/>
      <name val="Angsana New"/>
      <family val="1"/>
    </font>
    <font>
      <sz val="16"/>
      <name val="Angsana New"/>
      <family val="1"/>
    </font>
    <font>
      <sz val="14"/>
      <name val="Cordia New"/>
      <family val="2"/>
      <charset val="222"/>
    </font>
    <font>
      <sz val="14"/>
      <color indexed="56"/>
      <name val="Angsana New"/>
      <family val="1"/>
    </font>
    <font>
      <sz val="14"/>
      <color indexed="62"/>
      <name val="Angsana New"/>
      <family val="1"/>
    </font>
    <font>
      <i/>
      <sz val="14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  <charset val="222"/>
    </font>
    <font>
      <sz val="14"/>
      <color theme="1"/>
      <name val="Wingdings"/>
      <charset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sz val="14"/>
      <color rgb="FFFF000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4"/>
      </left>
      <right style="medium">
        <color indexed="28"/>
      </right>
      <top style="thin">
        <color indexed="57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14">
      <alignment horizontal="justify" textRotation="14" wrapText="1" indent="7"/>
      <protection locked="0"/>
    </xf>
    <xf numFmtId="0" fontId="14" fillId="0" borderId="0">
      <alignment horizontal="center" vertical="center" shrinkToFit="1"/>
    </xf>
    <xf numFmtId="43" fontId="23" fillId="0" borderId="0" applyFont="0" applyFill="0" applyBorder="0" applyAlignment="0" applyProtection="0"/>
  </cellStyleXfs>
  <cellXfs count="3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9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4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0" xfId="0" applyFont="1"/>
    <xf numFmtId="0" fontId="13" fillId="0" borderId="0" xfId="0" applyFont="1"/>
    <xf numFmtId="0" fontId="11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9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15" fillId="0" borderId="22" xfId="2" applyFont="1" applyBorder="1">
      <alignment horizontal="center" vertical="center" shrinkToFit="1"/>
    </xf>
    <xf numFmtId="0" fontId="11" fillId="4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 applyProtection="1">
      <alignment horizontal="center" vertical="center"/>
      <protection locked="0"/>
    </xf>
    <xf numFmtId="1" fontId="7" fillId="0" borderId="30" xfId="0" applyNumberFormat="1" applyFont="1" applyBorder="1" applyAlignment="1">
      <alignment horizontal="center" vertical="center"/>
    </xf>
    <xf numFmtId="187" fontId="7" fillId="0" borderId="30" xfId="0" applyNumberFormat="1" applyFont="1" applyBorder="1" applyAlignment="1">
      <alignment horizontal="right" vertical="center"/>
    </xf>
    <xf numFmtId="0" fontId="7" fillId="0" borderId="2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0" borderId="31" xfId="2" applyFont="1" applyBorder="1">
      <alignment horizontal="center" vertical="center" shrinkToFit="1"/>
    </xf>
    <xf numFmtId="0" fontId="11" fillId="6" borderId="31" xfId="0" applyFont="1" applyFill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59" fontId="7" fillId="0" borderId="37" xfId="0" applyNumberFormat="1" applyFont="1" applyBorder="1" applyAlignment="1">
      <alignment horizontal="center" vertical="center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>
      <alignment horizontal="center" vertical="center"/>
    </xf>
    <xf numFmtId="187" fontId="7" fillId="0" borderId="7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vertical="center"/>
    </xf>
    <xf numFmtId="0" fontId="5" fillId="0" borderId="44" xfId="0" applyFont="1" applyBorder="1" applyAlignment="1">
      <alignment horizontal="center"/>
    </xf>
    <xf numFmtId="0" fontId="5" fillId="0" borderId="44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7" fillId="0" borderId="44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187" fontId="5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16" fillId="0" borderId="45" xfId="2" applyFont="1" applyBorder="1">
      <alignment horizontal="center" vertical="center" shrinkToFit="1"/>
    </xf>
    <xf numFmtId="0" fontId="11" fillId="6" borderId="4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6" fillId="0" borderId="0" xfId="2" applyFont="1">
      <alignment horizontal="center" vertical="center" shrinkToFit="1"/>
    </xf>
    <xf numFmtId="0" fontId="11" fillId="6" borderId="11" xfId="0" applyFont="1" applyFill="1" applyBorder="1" applyAlignment="1">
      <alignment horizontal="center"/>
    </xf>
    <xf numFmtId="1" fontId="5" fillId="0" borderId="0" xfId="0" applyNumberFormat="1" applyFont="1"/>
    <xf numFmtId="0" fontId="11" fillId="4" borderId="1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" fontId="11" fillId="0" borderId="0" xfId="0" applyNumberFormat="1" applyFont="1" applyAlignment="1">
      <alignment horizontal="left"/>
    </xf>
    <xf numFmtId="1" fontId="7" fillId="0" borderId="0" xfId="0" applyNumberFormat="1" applyFont="1"/>
    <xf numFmtId="0" fontId="11" fillId="0" borderId="0" xfId="0" applyFont="1" applyAlignment="1">
      <alignment horizontal="left"/>
    </xf>
    <xf numFmtId="1" fontId="11" fillId="0" borderId="0" xfId="0" applyNumberFormat="1" applyFont="1"/>
    <xf numFmtId="0" fontId="11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Fill="1" applyBorder="1" applyAlignment="1"/>
    <xf numFmtId="0" fontId="7" fillId="2" borderId="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46" xfId="0" applyFont="1" applyBorder="1" applyAlignment="1">
      <alignment horizontal="center"/>
    </xf>
    <xf numFmtId="0" fontId="19" fillId="0" borderId="46" xfId="0" applyFont="1" applyBorder="1"/>
    <xf numFmtId="0" fontId="19" fillId="0" borderId="0" xfId="0" applyFont="1" applyAlignment="1">
      <alignment horizontal="left"/>
    </xf>
    <xf numFmtId="0" fontId="18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0" xfId="0" applyFont="1"/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0" fontId="5" fillId="0" borderId="45" xfId="0" applyFont="1" applyBorder="1" applyAlignment="1">
      <alignment horizontal="center"/>
    </xf>
    <xf numFmtId="0" fontId="5" fillId="0" borderId="45" xfId="0" applyFont="1" applyBorder="1"/>
    <xf numFmtId="1" fontId="5" fillId="0" borderId="11" xfId="0" applyNumberFormat="1" applyFont="1" applyBorder="1" applyAlignment="1">
      <alignment horizontal="center" vertical="center"/>
    </xf>
    <xf numFmtId="187" fontId="5" fillId="0" borderId="0" xfId="0" applyNumberFormat="1" applyFont="1" applyAlignment="1">
      <alignment horizontal="center"/>
    </xf>
    <xf numFmtId="187" fontId="5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7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58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1" fontId="7" fillId="0" borderId="22" xfId="0" applyNumberFormat="1" applyFont="1" applyBorder="1" applyAlignment="1">
      <alignment horizontal="center" vertical="center"/>
    </xf>
    <xf numFmtId="187" fontId="7" fillId="0" borderId="22" xfId="0" applyNumberFormat="1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0" borderId="57" xfId="0" applyFont="1" applyBorder="1" applyAlignment="1" applyProtection="1">
      <alignment horizontal="center" vertical="center"/>
      <protection locked="0"/>
    </xf>
    <xf numFmtId="1" fontId="7" fillId="0" borderId="45" xfId="0" applyNumberFormat="1" applyFont="1" applyBorder="1" applyAlignment="1">
      <alignment horizontal="center" vertical="center"/>
    </xf>
    <xf numFmtId="187" fontId="7" fillId="0" borderId="45" xfId="0" applyNumberFormat="1" applyFont="1" applyBorder="1" applyAlignment="1">
      <alignment horizontal="right" vertical="center"/>
    </xf>
    <xf numFmtId="0" fontId="7" fillId="0" borderId="0" xfId="0" applyFont="1" applyAlignment="1"/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87" fontId="7" fillId="0" borderId="22" xfId="0" applyNumberFormat="1" applyFont="1" applyBorder="1" applyAlignment="1">
      <alignment vertical="center"/>
    </xf>
    <xf numFmtId="187" fontId="7" fillId="0" borderId="31" xfId="0" applyNumberFormat="1" applyFont="1" applyBorder="1" applyAlignment="1">
      <alignment vertical="center"/>
    </xf>
    <xf numFmtId="187" fontId="7" fillId="0" borderId="45" xfId="0" applyNumberFormat="1" applyFont="1" applyBorder="1" applyAlignment="1">
      <alignment vertical="center"/>
    </xf>
    <xf numFmtId="188" fontId="7" fillId="0" borderId="22" xfId="3" applyNumberFormat="1" applyFont="1" applyBorder="1" applyAlignment="1">
      <alignment horizontal="center" vertical="center"/>
    </xf>
    <xf numFmtId="188" fontId="7" fillId="0" borderId="31" xfId="3" applyNumberFormat="1" applyFont="1" applyBorder="1" applyAlignment="1">
      <alignment horizontal="center" vertical="center"/>
    </xf>
    <xf numFmtId="188" fontId="7" fillId="0" borderId="45" xfId="3" applyNumberFormat="1" applyFont="1" applyBorder="1" applyAlignment="1">
      <alignment horizontal="center" vertical="center"/>
    </xf>
    <xf numFmtId="188" fontId="5" fillId="0" borderId="15" xfId="0" applyNumberFormat="1" applyFont="1" applyBorder="1" applyAlignment="1">
      <alignment horizontal="center"/>
    </xf>
    <xf numFmtId="188" fontId="7" fillId="0" borderId="0" xfId="0" applyNumberFormat="1" applyFont="1" applyAlignment="1">
      <alignment horizontal="center"/>
    </xf>
    <xf numFmtId="188" fontId="5" fillId="0" borderId="0" xfId="0" applyNumberFormat="1" applyFont="1"/>
    <xf numFmtId="188" fontId="5" fillId="0" borderId="0" xfId="0" applyNumberFormat="1" applyFont="1" applyAlignment="1">
      <alignment horizontal="center"/>
    </xf>
    <xf numFmtId="188" fontId="5" fillId="0" borderId="0" xfId="0" applyNumberFormat="1" applyFont="1" applyAlignment="1"/>
    <xf numFmtId="188" fontId="7" fillId="0" borderId="0" xfId="0" applyNumberFormat="1" applyFont="1"/>
    <xf numFmtId="188" fontId="11" fillId="0" borderId="0" xfId="0" applyNumberFormat="1" applyFont="1"/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1" applyFont="1" applyFill="1" applyBorder="1" applyAlignment="1" applyProtection="1">
      <alignment horizontal="left" vertical="center"/>
    </xf>
    <xf numFmtId="0" fontId="7" fillId="0" borderId="12" xfId="1" applyFont="1" applyFill="1" applyBorder="1" applyAlignment="1" applyProtection="1">
      <alignment horizontal="left" vertical="center"/>
    </xf>
    <xf numFmtId="0" fontId="7" fillId="0" borderId="2" xfId="1" applyFont="1" applyFill="1" applyBorder="1" applyAlignment="1" applyProtection="1">
      <alignment horizontal="left" vertical="center"/>
    </xf>
    <xf numFmtId="0" fontId="7" fillId="0" borderId="11" xfId="1" applyFont="1" applyFill="1" applyBorder="1" applyAlignment="1" applyProtection="1">
      <alignment horizontal="left" vertical="center"/>
    </xf>
    <xf numFmtId="0" fontId="5" fillId="0" borderId="0" xfId="0" applyFont="1" applyAlignment="1">
      <alignment horizontal="center"/>
    </xf>
    <xf numFmtId="0" fontId="7" fillId="0" borderId="6" xfId="1" applyFont="1" applyFill="1" applyBorder="1" applyAlignment="1" applyProtection="1">
      <alignment horizontal="left" vertical="center"/>
    </xf>
    <xf numFmtId="0" fontId="7" fillId="0" borderId="13" xfId="1" applyFont="1" applyFill="1" applyBorder="1" applyAlignment="1" applyProtection="1">
      <alignment horizontal="left" vertical="center"/>
    </xf>
    <xf numFmtId="0" fontId="5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8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" fontId="5" fillId="0" borderId="6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87" fontId="7" fillId="0" borderId="2" xfId="0" applyNumberFormat="1" applyFont="1" applyBorder="1" applyAlignment="1">
      <alignment horizontal="right" vertical="center"/>
    </xf>
    <xf numFmtId="187" fontId="7" fillId="0" borderId="7" xfId="0" applyNumberFormat="1" applyFont="1" applyBorder="1" applyAlignment="1">
      <alignment horizontal="right" vertical="center"/>
    </xf>
    <xf numFmtId="187" fontId="7" fillId="0" borderId="11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88" fontId="5" fillId="0" borderId="2" xfId="0" applyNumberFormat="1" applyFont="1" applyBorder="1" applyAlignment="1">
      <alignment horizontal="center" vertical="center" wrapText="1"/>
    </xf>
    <xf numFmtId="188" fontId="5" fillId="0" borderId="11" xfId="0" applyNumberFormat="1" applyFont="1" applyBorder="1" applyAlignment="1">
      <alignment horizontal="center" vertical="center" wrapText="1"/>
    </xf>
    <xf numFmtId="43" fontId="7" fillId="0" borderId="2" xfId="3" applyFont="1" applyBorder="1" applyAlignment="1">
      <alignment horizontal="center" vertical="center"/>
    </xf>
    <xf numFmtId="43" fontId="7" fillId="0" borderId="11" xfId="3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46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24" fillId="0" borderId="0" xfId="0" applyFont="1"/>
    <xf numFmtId="0" fontId="26" fillId="0" borderId="0" xfId="0" applyFont="1" applyAlignment="1">
      <alignment vertical="top"/>
    </xf>
  </cellXfs>
  <cellStyles count="4">
    <cellStyle name="Comma" xfId="3" builtinId="3"/>
    <cellStyle name="Normal" xfId="0" builtinId="0"/>
    <cellStyle name="Normal_Sheet1" xfId="1" xr:uid="{9DC64083-CF5A-45DD-AD65-92DC02A34366}"/>
    <cellStyle name="ปกติ 2" xfId="2" xr:uid="{291D9643-E04E-4AEA-9A71-B71DFDB5D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16</xdr:row>
      <xdr:rowOff>180974</xdr:rowOff>
    </xdr:from>
    <xdr:to>
      <xdr:col>27</xdr:col>
      <xdr:colOff>142875</xdr:colOff>
      <xdr:row>19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4F6F8D-5E5B-4108-9426-F83A04DB1DB3}"/>
            </a:ext>
          </a:extLst>
        </xdr:cNvPr>
        <xdr:cNvSpPr txBox="1"/>
      </xdr:nvSpPr>
      <xdr:spPr>
        <a:xfrm>
          <a:off x="8896350" y="4095749"/>
          <a:ext cx="1533525" cy="7524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ผู้อำนวยการหรือรองภารกิจฯที่ได้รับมอบหมายเป็นผู้อนุมัติขึ้น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24</xdr:col>
      <xdr:colOff>233363</xdr:colOff>
      <xdr:row>12</xdr:row>
      <xdr:rowOff>142876</xdr:rowOff>
    </xdr:from>
    <xdr:to>
      <xdr:col>26</xdr:col>
      <xdr:colOff>257178</xdr:colOff>
      <xdr:row>16</xdr:row>
      <xdr:rowOff>180975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69EFB2FC-1CAF-4FCD-8B41-722F80C782D6}"/>
            </a:ext>
          </a:extLst>
        </xdr:cNvPr>
        <xdr:cNvCxnSpPr>
          <a:stCxn id="2" idx="0"/>
        </xdr:cNvCxnSpPr>
      </xdr:nvCxnSpPr>
      <xdr:spPr>
        <a:xfrm rot="5400000" flipH="1" flipV="1">
          <a:off x="9408321" y="3245643"/>
          <a:ext cx="1104899" cy="595315"/>
        </a:xfrm>
        <a:prstGeom prst="bentConnector3">
          <a:avLst>
            <a:gd name="adj1" fmla="val 9827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0</xdr:row>
      <xdr:rowOff>47625</xdr:rowOff>
    </xdr:from>
    <xdr:to>
      <xdr:col>33</xdr:col>
      <xdr:colOff>47625</xdr:colOff>
      <xdr:row>1</xdr:row>
      <xdr:rowOff>238125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1CA782-68BF-4225-8C9A-9F29D2C48B7F}"/>
            </a:ext>
          </a:extLst>
        </xdr:cNvPr>
        <xdr:cNvSpPr txBox="1"/>
      </xdr:nvSpPr>
      <xdr:spPr>
        <a:xfrm>
          <a:off x="9429750" y="47625"/>
          <a:ext cx="26193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ตัวอย่างตารางขอขึ้น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66675</xdr:colOff>
      <xdr:row>16</xdr:row>
      <xdr:rowOff>190499</xdr:rowOff>
    </xdr:from>
    <xdr:to>
      <xdr:col>27</xdr:col>
      <xdr:colOff>171450</xdr:colOff>
      <xdr:row>19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5EF963-9346-4268-9E00-8269C6B12566}"/>
            </a:ext>
          </a:extLst>
        </xdr:cNvPr>
        <xdr:cNvSpPr txBox="1"/>
      </xdr:nvSpPr>
      <xdr:spPr>
        <a:xfrm>
          <a:off x="8924925" y="4105274"/>
          <a:ext cx="1533525" cy="7524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ผู้อำนวยการหรือรองภารกิจฯที่ได้รับมอบหมายเป็นผู้อนุมัติขึ้น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24</xdr:col>
      <xdr:colOff>0</xdr:colOff>
      <xdr:row>0</xdr:row>
      <xdr:rowOff>47625</xdr:rowOff>
    </xdr:from>
    <xdr:to>
      <xdr:col>33</xdr:col>
      <xdr:colOff>47625</xdr:colOff>
      <xdr:row>1</xdr:row>
      <xdr:rowOff>238125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493BFB-E819-4245-AFDC-38FAE034AE88}"/>
            </a:ext>
          </a:extLst>
        </xdr:cNvPr>
        <xdr:cNvSpPr txBox="1"/>
      </xdr:nvSpPr>
      <xdr:spPr>
        <a:xfrm>
          <a:off x="9429750" y="47625"/>
          <a:ext cx="26193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ตัวอย่างตารางขอขึ้น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24</xdr:col>
      <xdr:colOff>233363</xdr:colOff>
      <xdr:row>12</xdr:row>
      <xdr:rowOff>142876</xdr:rowOff>
    </xdr:from>
    <xdr:to>
      <xdr:col>26</xdr:col>
      <xdr:colOff>257178</xdr:colOff>
      <xdr:row>16</xdr:row>
      <xdr:rowOff>180975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285DAA0B-D92A-4685-AC4F-72659F0B7787}"/>
            </a:ext>
          </a:extLst>
        </xdr:cNvPr>
        <xdr:cNvCxnSpPr/>
      </xdr:nvCxnSpPr>
      <xdr:spPr>
        <a:xfrm rot="5400000" flipH="1" flipV="1">
          <a:off x="9408321" y="3245643"/>
          <a:ext cx="1104899" cy="595315"/>
        </a:xfrm>
        <a:prstGeom prst="bentConnector3">
          <a:avLst>
            <a:gd name="adj1" fmla="val 9827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0</xdr:rowOff>
    </xdr:from>
    <xdr:to>
      <xdr:col>12</xdr:col>
      <xdr:colOff>9525</xdr:colOff>
      <xdr:row>20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7FADF61-FA1A-48DE-924D-BAB1902FDC7E}"/>
            </a:ext>
          </a:extLst>
        </xdr:cNvPr>
        <xdr:cNvCxnSpPr/>
      </xdr:nvCxnSpPr>
      <xdr:spPr>
        <a:xfrm>
          <a:off x="5486400" y="5267325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647700</xdr:colOff>
      <xdr:row>10</xdr:row>
      <xdr:rowOff>0</xdr:rowOff>
    </xdr:from>
    <xdr:to>
      <xdr:col>40</xdr:col>
      <xdr:colOff>1009650</xdr:colOff>
      <xdr:row>12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5340CC-F073-4787-98A0-5F3EA442E993}"/>
            </a:ext>
          </a:extLst>
        </xdr:cNvPr>
        <xdr:cNvSpPr txBox="1"/>
      </xdr:nvSpPr>
      <xdr:spPr>
        <a:xfrm>
          <a:off x="12239625" y="2609850"/>
          <a:ext cx="1800225" cy="5810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ลายเซ็นรับเงินต้องตรงกัน</a:t>
          </a:r>
        </a:p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กับลงชื่อปฏิบัติงาน</a:t>
          </a:r>
        </a:p>
      </xdr:txBody>
    </xdr:sp>
    <xdr:clientData/>
  </xdr:twoCellAnchor>
  <xdr:twoCellAnchor>
    <xdr:from>
      <xdr:col>40</xdr:col>
      <xdr:colOff>109538</xdr:colOff>
      <xdr:row>7</xdr:row>
      <xdr:rowOff>38100</xdr:rowOff>
    </xdr:from>
    <xdr:to>
      <xdr:col>40</xdr:col>
      <xdr:colOff>390525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97F0B89-ADBE-47F6-8B79-735A5FBEC9BF}"/>
            </a:ext>
          </a:extLst>
        </xdr:cNvPr>
        <xdr:cNvCxnSpPr>
          <a:stCxn id="3" idx="0"/>
        </xdr:cNvCxnSpPr>
      </xdr:nvCxnSpPr>
      <xdr:spPr>
        <a:xfrm flipV="1">
          <a:off x="13139738" y="1962150"/>
          <a:ext cx="280987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0</xdr:row>
      <xdr:rowOff>152400</xdr:rowOff>
    </xdr:from>
    <xdr:to>
      <xdr:col>39</xdr:col>
      <xdr:colOff>628650</xdr:colOff>
      <xdr:row>1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CF9B-2858-4BD6-8172-68F2F9F43902}"/>
            </a:ext>
          </a:extLst>
        </xdr:cNvPr>
        <xdr:cNvSpPr txBox="1"/>
      </xdr:nvSpPr>
      <xdr:spPr>
        <a:xfrm>
          <a:off x="10353675" y="152400"/>
          <a:ext cx="26193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ตัวอย่างตารางขอเบิก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20</xdr:row>
      <xdr:rowOff>0</xdr:rowOff>
    </xdr:from>
    <xdr:to>
      <xdr:col>13</xdr:col>
      <xdr:colOff>9525</xdr:colOff>
      <xdr:row>20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C21D6F8-BDE7-4BD8-A0FE-D93B5A7505D6}"/>
            </a:ext>
          </a:extLst>
        </xdr:cNvPr>
        <xdr:cNvCxnSpPr/>
      </xdr:nvCxnSpPr>
      <xdr:spPr>
        <a:xfrm>
          <a:off x="5486400" y="497205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647700</xdr:colOff>
      <xdr:row>10</xdr:row>
      <xdr:rowOff>0</xdr:rowOff>
    </xdr:from>
    <xdr:to>
      <xdr:col>41</xdr:col>
      <xdr:colOff>1009650</xdr:colOff>
      <xdr:row>12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4D9781-0E92-447B-A285-4E5AF4B9F694}"/>
            </a:ext>
          </a:extLst>
        </xdr:cNvPr>
        <xdr:cNvSpPr txBox="1"/>
      </xdr:nvSpPr>
      <xdr:spPr>
        <a:xfrm>
          <a:off x="12239625" y="2609850"/>
          <a:ext cx="1800225" cy="5810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ลายเซ็นรับเงินต้องตรงกัน</a:t>
          </a:r>
        </a:p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กับลงชื่อปฏิบัติงาน</a:t>
          </a:r>
        </a:p>
      </xdr:txBody>
    </xdr:sp>
    <xdr:clientData/>
  </xdr:twoCellAnchor>
  <xdr:twoCellAnchor>
    <xdr:from>
      <xdr:col>41</xdr:col>
      <xdr:colOff>109538</xdr:colOff>
      <xdr:row>7</xdr:row>
      <xdr:rowOff>38100</xdr:rowOff>
    </xdr:from>
    <xdr:to>
      <xdr:col>41</xdr:col>
      <xdr:colOff>390525</xdr:colOff>
      <xdr:row>10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0181486-2FF1-4975-B37C-0FEAFD7CA2CB}"/>
            </a:ext>
          </a:extLst>
        </xdr:cNvPr>
        <xdr:cNvCxnSpPr>
          <a:stCxn id="6" idx="0"/>
        </xdr:cNvCxnSpPr>
      </xdr:nvCxnSpPr>
      <xdr:spPr>
        <a:xfrm flipV="1">
          <a:off x="13139738" y="1962150"/>
          <a:ext cx="280987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</xdr:colOff>
      <xdr:row>0</xdr:row>
      <xdr:rowOff>152400</xdr:rowOff>
    </xdr:from>
    <xdr:to>
      <xdr:col>40</xdr:col>
      <xdr:colOff>628650</xdr:colOff>
      <xdr:row>1</xdr:row>
      <xdr:rowOff>228600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805D20-6633-46BF-B73B-B8A6C799CD20}"/>
            </a:ext>
          </a:extLst>
        </xdr:cNvPr>
        <xdr:cNvSpPr txBox="1"/>
      </xdr:nvSpPr>
      <xdr:spPr>
        <a:xfrm>
          <a:off x="10353675" y="152400"/>
          <a:ext cx="26193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ตัวอย่างตารางขอเบิก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21</xdr:row>
      <xdr:rowOff>0</xdr:rowOff>
    </xdr:from>
    <xdr:to>
      <xdr:col>13</xdr:col>
      <xdr:colOff>9525</xdr:colOff>
      <xdr:row>21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1B365E1-1090-46FD-B00C-B1448DA31F57}"/>
            </a:ext>
          </a:extLst>
        </xdr:cNvPr>
        <xdr:cNvCxnSpPr/>
      </xdr:nvCxnSpPr>
      <xdr:spPr>
        <a:xfrm>
          <a:off x="5486400" y="5267325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647700</xdr:colOff>
      <xdr:row>11</xdr:row>
      <xdr:rowOff>0</xdr:rowOff>
    </xdr:from>
    <xdr:to>
      <xdr:col>41</xdr:col>
      <xdr:colOff>1009650</xdr:colOff>
      <xdr:row>13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342D7-01E6-4031-862D-6FCB71994057}"/>
            </a:ext>
          </a:extLst>
        </xdr:cNvPr>
        <xdr:cNvSpPr txBox="1"/>
      </xdr:nvSpPr>
      <xdr:spPr>
        <a:xfrm>
          <a:off x="12239625" y="2609850"/>
          <a:ext cx="1800225" cy="5810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ลายเซ็นรับเงินต้องตรงกัน</a:t>
          </a:r>
        </a:p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กับลงชื่อปฏิบัติงาน</a:t>
          </a:r>
        </a:p>
      </xdr:txBody>
    </xdr:sp>
    <xdr:clientData/>
  </xdr:twoCellAnchor>
  <xdr:twoCellAnchor>
    <xdr:from>
      <xdr:col>41</xdr:col>
      <xdr:colOff>109538</xdr:colOff>
      <xdr:row>8</xdr:row>
      <xdr:rowOff>38100</xdr:rowOff>
    </xdr:from>
    <xdr:to>
      <xdr:col>41</xdr:col>
      <xdr:colOff>390525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5224C21-BEB0-4193-B1EF-66154F28094A}"/>
            </a:ext>
          </a:extLst>
        </xdr:cNvPr>
        <xdr:cNvCxnSpPr>
          <a:stCxn id="3" idx="0"/>
        </xdr:cNvCxnSpPr>
      </xdr:nvCxnSpPr>
      <xdr:spPr>
        <a:xfrm flipV="1">
          <a:off x="13139738" y="1962150"/>
          <a:ext cx="280987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</xdr:colOff>
      <xdr:row>0</xdr:row>
      <xdr:rowOff>152400</xdr:rowOff>
    </xdr:from>
    <xdr:to>
      <xdr:col>40</xdr:col>
      <xdr:colOff>628650</xdr:colOff>
      <xdr:row>1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F17338-476E-4AF3-90B9-D9DE2B722642}"/>
            </a:ext>
          </a:extLst>
        </xdr:cNvPr>
        <xdr:cNvSpPr txBox="1"/>
      </xdr:nvSpPr>
      <xdr:spPr>
        <a:xfrm>
          <a:off x="10353675" y="152400"/>
          <a:ext cx="26193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ตัวอย่างตารางขอเบิก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23</xdr:row>
      <xdr:rowOff>0</xdr:rowOff>
    </xdr:from>
    <xdr:to>
      <xdr:col>13</xdr:col>
      <xdr:colOff>9525</xdr:colOff>
      <xdr:row>23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910035D-0347-432B-9EB1-D42FC44FB0CA}"/>
            </a:ext>
          </a:extLst>
        </xdr:cNvPr>
        <xdr:cNvCxnSpPr/>
      </xdr:nvCxnSpPr>
      <xdr:spPr>
        <a:xfrm>
          <a:off x="5886450" y="52673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13</xdr:row>
      <xdr:rowOff>0</xdr:rowOff>
    </xdr:from>
    <xdr:to>
      <xdr:col>40</xdr:col>
      <xdr:colOff>1009650</xdr:colOff>
      <xdr:row>15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C5194D-77E6-4242-82FA-978C9577D32F}"/>
            </a:ext>
          </a:extLst>
        </xdr:cNvPr>
        <xdr:cNvSpPr txBox="1"/>
      </xdr:nvSpPr>
      <xdr:spPr>
        <a:xfrm>
          <a:off x="15982950" y="2609850"/>
          <a:ext cx="1800225" cy="5810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ลายเซ็นรับเงินต้องตรงกัน</a:t>
          </a:r>
        </a:p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กับลงชื่อปฏิบัติงาน</a:t>
          </a:r>
        </a:p>
      </xdr:txBody>
    </xdr:sp>
    <xdr:clientData/>
  </xdr:twoCellAnchor>
  <xdr:twoCellAnchor>
    <xdr:from>
      <xdr:col>40</xdr:col>
      <xdr:colOff>109538</xdr:colOff>
      <xdr:row>11</xdr:row>
      <xdr:rowOff>0</xdr:rowOff>
    </xdr:from>
    <xdr:to>
      <xdr:col>40</xdr:col>
      <xdr:colOff>390525</xdr:colOff>
      <xdr:row>13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E68040B-63E3-4E6F-8994-EA6DD7912B53}"/>
            </a:ext>
          </a:extLst>
        </xdr:cNvPr>
        <xdr:cNvCxnSpPr>
          <a:stCxn id="3" idx="0"/>
        </xdr:cNvCxnSpPr>
      </xdr:nvCxnSpPr>
      <xdr:spPr>
        <a:xfrm flipV="1">
          <a:off x="16883063" y="2181225"/>
          <a:ext cx="280987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</xdr:colOff>
      <xdr:row>0</xdr:row>
      <xdr:rowOff>152400</xdr:rowOff>
    </xdr:from>
    <xdr:to>
      <xdr:col>39</xdr:col>
      <xdr:colOff>628650</xdr:colOff>
      <xdr:row>1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F4060E-A5B6-4248-A22B-EBACDC449B1D}"/>
            </a:ext>
          </a:extLst>
        </xdr:cNvPr>
        <xdr:cNvSpPr txBox="1"/>
      </xdr:nvSpPr>
      <xdr:spPr>
        <a:xfrm>
          <a:off x="13268325" y="152400"/>
          <a:ext cx="3448050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ตัวอย่างตารางขอเบิก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23</xdr:row>
      <xdr:rowOff>0</xdr:rowOff>
    </xdr:from>
    <xdr:to>
      <xdr:col>13</xdr:col>
      <xdr:colOff>9525</xdr:colOff>
      <xdr:row>23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904EF42-65C5-4A9D-92FF-52AE8A9B5DF9}"/>
            </a:ext>
          </a:extLst>
        </xdr:cNvPr>
        <xdr:cNvCxnSpPr/>
      </xdr:nvCxnSpPr>
      <xdr:spPr>
        <a:xfrm>
          <a:off x="5676900" y="60388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13</xdr:row>
      <xdr:rowOff>0</xdr:rowOff>
    </xdr:from>
    <xdr:to>
      <xdr:col>41</xdr:col>
      <xdr:colOff>1009650</xdr:colOff>
      <xdr:row>15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CA3072-8594-4D25-98C4-1469FF372A31}"/>
            </a:ext>
          </a:extLst>
        </xdr:cNvPr>
        <xdr:cNvSpPr txBox="1"/>
      </xdr:nvSpPr>
      <xdr:spPr>
        <a:xfrm>
          <a:off x="15125700" y="3381375"/>
          <a:ext cx="1695450" cy="5810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ลายเซ็นรับเงินต้องตรงกัน</a:t>
          </a:r>
        </a:p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กับลงชื่อปฏิบัติงาน</a:t>
          </a:r>
        </a:p>
      </xdr:txBody>
    </xdr:sp>
    <xdr:clientData/>
  </xdr:twoCellAnchor>
  <xdr:twoCellAnchor>
    <xdr:from>
      <xdr:col>41</xdr:col>
      <xdr:colOff>109538</xdr:colOff>
      <xdr:row>11</xdr:row>
      <xdr:rowOff>0</xdr:rowOff>
    </xdr:from>
    <xdr:to>
      <xdr:col>41</xdr:col>
      <xdr:colOff>390525</xdr:colOff>
      <xdr:row>13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CC9E53E-DFCF-4CA4-AF28-7C0A1F83E715}"/>
            </a:ext>
          </a:extLst>
        </xdr:cNvPr>
        <xdr:cNvCxnSpPr>
          <a:stCxn id="3" idx="0"/>
        </xdr:cNvCxnSpPr>
      </xdr:nvCxnSpPr>
      <xdr:spPr>
        <a:xfrm flipV="1">
          <a:off x="15921038" y="2952750"/>
          <a:ext cx="280987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47625</xdr:colOff>
      <xdr:row>0</xdr:row>
      <xdr:rowOff>152400</xdr:rowOff>
    </xdr:from>
    <xdr:to>
      <xdr:col>40</xdr:col>
      <xdr:colOff>628650</xdr:colOff>
      <xdr:row>1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9F8C3F-1C02-4790-B0B9-5AA75138F8D4}"/>
            </a:ext>
          </a:extLst>
        </xdr:cNvPr>
        <xdr:cNvSpPr txBox="1"/>
      </xdr:nvSpPr>
      <xdr:spPr>
        <a:xfrm>
          <a:off x="13058775" y="152400"/>
          <a:ext cx="2695575" cy="457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ตัวอย่างตารางขอเบิก </a:t>
          </a:r>
          <a:r>
            <a:rPr lang="en-US" sz="2400" b="1">
              <a:latin typeface="TH SarabunPSK" panose="020B0500040200020003" pitchFamily="34" charset="-34"/>
              <a:cs typeface="TH SarabunPSK" panose="020B0500040200020003" pitchFamily="34" charset="-34"/>
            </a:rPr>
            <a:t>OT</a:t>
          </a:r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303C-D50F-44C7-A816-630C7217FC66}">
  <sheetPr>
    <tabColor theme="7" tint="0.59999389629810485"/>
    <pageSetUpPr fitToPage="1"/>
  </sheetPr>
  <dimension ref="A1:AL18"/>
  <sheetViews>
    <sheetView tabSelected="1" workbookViewId="0">
      <selection activeCell="B13" sqref="B13"/>
    </sheetView>
  </sheetViews>
  <sheetFormatPr defaultRowHeight="19.5" x14ac:dyDescent="0.3"/>
  <cols>
    <col min="1" max="1" width="4.375" style="19" customWidth="1"/>
    <col min="2" max="2" width="11.625" style="20" customWidth="1"/>
    <col min="3" max="3" width="13.625" style="20" customWidth="1"/>
    <col min="4" max="4" width="19.125" style="20" customWidth="1"/>
    <col min="5" max="13" width="3.75" style="1" customWidth="1"/>
    <col min="14" max="34" width="3.75" style="14" customWidth="1"/>
    <col min="35" max="35" width="3.5" style="14" customWidth="1"/>
    <col min="36" max="37" width="4.75" style="1" customWidth="1"/>
    <col min="38" max="38" width="5.875" style="1" customWidth="1"/>
    <col min="39" max="39" width="12.875" style="2" customWidth="1"/>
    <col min="40" max="257" width="9" style="2"/>
    <col min="258" max="258" width="4.375" style="2" customWidth="1"/>
    <col min="259" max="259" width="21.375" style="2" customWidth="1"/>
    <col min="260" max="260" width="17.125" style="2" customWidth="1"/>
    <col min="261" max="290" width="3.75" style="2" customWidth="1"/>
    <col min="291" max="291" width="3.5" style="2" customWidth="1"/>
    <col min="292" max="293" width="4.75" style="2" customWidth="1"/>
    <col min="294" max="294" width="5.875" style="2" customWidth="1"/>
    <col min="295" max="295" width="12.875" style="2" customWidth="1"/>
    <col min="296" max="513" width="9" style="2"/>
    <col min="514" max="514" width="4.375" style="2" customWidth="1"/>
    <col min="515" max="515" width="21.375" style="2" customWidth="1"/>
    <col min="516" max="516" width="17.125" style="2" customWidth="1"/>
    <col min="517" max="546" width="3.75" style="2" customWidth="1"/>
    <col min="547" max="547" width="3.5" style="2" customWidth="1"/>
    <col min="548" max="549" width="4.75" style="2" customWidth="1"/>
    <col min="550" max="550" width="5.875" style="2" customWidth="1"/>
    <col min="551" max="551" width="12.875" style="2" customWidth="1"/>
    <col min="552" max="769" width="9" style="2"/>
    <col min="770" max="770" width="4.375" style="2" customWidth="1"/>
    <col min="771" max="771" width="21.375" style="2" customWidth="1"/>
    <col min="772" max="772" width="17.125" style="2" customWidth="1"/>
    <col min="773" max="802" width="3.75" style="2" customWidth="1"/>
    <col min="803" max="803" width="3.5" style="2" customWidth="1"/>
    <col min="804" max="805" width="4.75" style="2" customWidth="1"/>
    <col min="806" max="806" width="5.875" style="2" customWidth="1"/>
    <col min="807" max="807" width="12.875" style="2" customWidth="1"/>
    <col min="808" max="1025" width="9" style="2"/>
    <col min="1026" max="1026" width="4.375" style="2" customWidth="1"/>
    <col min="1027" max="1027" width="21.375" style="2" customWidth="1"/>
    <col min="1028" max="1028" width="17.125" style="2" customWidth="1"/>
    <col min="1029" max="1058" width="3.75" style="2" customWidth="1"/>
    <col min="1059" max="1059" width="3.5" style="2" customWidth="1"/>
    <col min="1060" max="1061" width="4.75" style="2" customWidth="1"/>
    <col min="1062" max="1062" width="5.875" style="2" customWidth="1"/>
    <col min="1063" max="1063" width="12.875" style="2" customWidth="1"/>
    <col min="1064" max="1281" width="9" style="2"/>
    <col min="1282" max="1282" width="4.375" style="2" customWidth="1"/>
    <col min="1283" max="1283" width="21.375" style="2" customWidth="1"/>
    <col min="1284" max="1284" width="17.125" style="2" customWidth="1"/>
    <col min="1285" max="1314" width="3.75" style="2" customWidth="1"/>
    <col min="1315" max="1315" width="3.5" style="2" customWidth="1"/>
    <col min="1316" max="1317" width="4.75" style="2" customWidth="1"/>
    <col min="1318" max="1318" width="5.875" style="2" customWidth="1"/>
    <col min="1319" max="1319" width="12.875" style="2" customWidth="1"/>
    <col min="1320" max="1537" width="9" style="2"/>
    <col min="1538" max="1538" width="4.375" style="2" customWidth="1"/>
    <col min="1539" max="1539" width="21.375" style="2" customWidth="1"/>
    <col min="1540" max="1540" width="17.125" style="2" customWidth="1"/>
    <col min="1541" max="1570" width="3.75" style="2" customWidth="1"/>
    <col min="1571" max="1571" width="3.5" style="2" customWidth="1"/>
    <col min="1572" max="1573" width="4.75" style="2" customWidth="1"/>
    <col min="1574" max="1574" width="5.875" style="2" customWidth="1"/>
    <col min="1575" max="1575" width="12.875" style="2" customWidth="1"/>
    <col min="1576" max="1793" width="9" style="2"/>
    <col min="1794" max="1794" width="4.375" style="2" customWidth="1"/>
    <col min="1795" max="1795" width="21.375" style="2" customWidth="1"/>
    <col min="1796" max="1796" width="17.125" style="2" customWidth="1"/>
    <col min="1797" max="1826" width="3.75" style="2" customWidth="1"/>
    <col min="1827" max="1827" width="3.5" style="2" customWidth="1"/>
    <col min="1828" max="1829" width="4.75" style="2" customWidth="1"/>
    <col min="1830" max="1830" width="5.875" style="2" customWidth="1"/>
    <col min="1831" max="1831" width="12.875" style="2" customWidth="1"/>
    <col min="1832" max="2049" width="9" style="2"/>
    <col min="2050" max="2050" width="4.375" style="2" customWidth="1"/>
    <col min="2051" max="2051" width="21.375" style="2" customWidth="1"/>
    <col min="2052" max="2052" width="17.125" style="2" customWidth="1"/>
    <col min="2053" max="2082" width="3.75" style="2" customWidth="1"/>
    <col min="2083" max="2083" width="3.5" style="2" customWidth="1"/>
    <col min="2084" max="2085" width="4.75" style="2" customWidth="1"/>
    <col min="2086" max="2086" width="5.875" style="2" customWidth="1"/>
    <col min="2087" max="2087" width="12.875" style="2" customWidth="1"/>
    <col min="2088" max="2305" width="9" style="2"/>
    <col min="2306" max="2306" width="4.375" style="2" customWidth="1"/>
    <col min="2307" max="2307" width="21.375" style="2" customWidth="1"/>
    <col min="2308" max="2308" width="17.125" style="2" customWidth="1"/>
    <col min="2309" max="2338" width="3.75" style="2" customWidth="1"/>
    <col min="2339" max="2339" width="3.5" style="2" customWidth="1"/>
    <col min="2340" max="2341" width="4.75" style="2" customWidth="1"/>
    <col min="2342" max="2342" width="5.875" style="2" customWidth="1"/>
    <col min="2343" max="2343" width="12.875" style="2" customWidth="1"/>
    <col min="2344" max="2561" width="9" style="2"/>
    <col min="2562" max="2562" width="4.375" style="2" customWidth="1"/>
    <col min="2563" max="2563" width="21.375" style="2" customWidth="1"/>
    <col min="2564" max="2564" width="17.125" style="2" customWidth="1"/>
    <col min="2565" max="2594" width="3.75" style="2" customWidth="1"/>
    <col min="2595" max="2595" width="3.5" style="2" customWidth="1"/>
    <col min="2596" max="2597" width="4.75" style="2" customWidth="1"/>
    <col min="2598" max="2598" width="5.875" style="2" customWidth="1"/>
    <col min="2599" max="2599" width="12.875" style="2" customWidth="1"/>
    <col min="2600" max="2817" width="9" style="2"/>
    <col min="2818" max="2818" width="4.375" style="2" customWidth="1"/>
    <col min="2819" max="2819" width="21.375" style="2" customWidth="1"/>
    <col min="2820" max="2820" width="17.125" style="2" customWidth="1"/>
    <col min="2821" max="2850" width="3.75" style="2" customWidth="1"/>
    <col min="2851" max="2851" width="3.5" style="2" customWidth="1"/>
    <col min="2852" max="2853" width="4.75" style="2" customWidth="1"/>
    <col min="2854" max="2854" width="5.875" style="2" customWidth="1"/>
    <col min="2855" max="2855" width="12.875" style="2" customWidth="1"/>
    <col min="2856" max="3073" width="9" style="2"/>
    <col min="3074" max="3074" width="4.375" style="2" customWidth="1"/>
    <col min="3075" max="3075" width="21.375" style="2" customWidth="1"/>
    <col min="3076" max="3076" width="17.125" style="2" customWidth="1"/>
    <col min="3077" max="3106" width="3.75" style="2" customWidth="1"/>
    <col min="3107" max="3107" width="3.5" style="2" customWidth="1"/>
    <col min="3108" max="3109" width="4.75" style="2" customWidth="1"/>
    <col min="3110" max="3110" width="5.875" style="2" customWidth="1"/>
    <col min="3111" max="3111" width="12.875" style="2" customWidth="1"/>
    <col min="3112" max="3329" width="9" style="2"/>
    <col min="3330" max="3330" width="4.375" style="2" customWidth="1"/>
    <col min="3331" max="3331" width="21.375" style="2" customWidth="1"/>
    <col min="3332" max="3332" width="17.125" style="2" customWidth="1"/>
    <col min="3333" max="3362" width="3.75" style="2" customWidth="1"/>
    <col min="3363" max="3363" width="3.5" style="2" customWidth="1"/>
    <col min="3364" max="3365" width="4.75" style="2" customWidth="1"/>
    <col min="3366" max="3366" width="5.875" style="2" customWidth="1"/>
    <col min="3367" max="3367" width="12.875" style="2" customWidth="1"/>
    <col min="3368" max="3585" width="9" style="2"/>
    <col min="3586" max="3586" width="4.375" style="2" customWidth="1"/>
    <col min="3587" max="3587" width="21.375" style="2" customWidth="1"/>
    <col min="3588" max="3588" width="17.125" style="2" customWidth="1"/>
    <col min="3589" max="3618" width="3.75" style="2" customWidth="1"/>
    <col min="3619" max="3619" width="3.5" style="2" customWidth="1"/>
    <col min="3620" max="3621" width="4.75" style="2" customWidth="1"/>
    <col min="3622" max="3622" width="5.875" style="2" customWidth="1"/>
    <col min="3623" max="3623" width="12.875" style="2" customWidth="1"/>
    <col min="3624" max="3841" width="9" style="2"/>
    <col min="3842" max="3842" width="4.375" style="2" customWidth="1"/>
    <col min="3843" max="3843" width="21.375" style="2" customWidth="1"/>
    <col min="3844" max="3844" width="17.125" style="2" customWidth="1"/>
    <col min="3845" max="3874" width="3.75" style="2" customWidth="1"/>
    <col min="3875" max="3875" width="3.5" style="2" customWidth="1"/>
    <col min="3876" max="3877" width="4.75" style="2" customWidth="1"/>
    <col min="3878" max="3878" width="5.875" style="2" customWidth="1"/>
    <col min="3879" max="3879" width="12.875" style="2" customWidth="1"/>
    <col min="3880" max="4097" width="9" style="2"/>
    <col min="4098" max="4098" width="4.375" style="2" customWidth="1"/>
    <col min="4099" max="4099" width="21.375" style="2" customWidth="1"/>
    <col min="4100" max="4100" width="17.125" style="2" customWidth="1"/>
    <col min="4101" max="4130" width="3.75" style="2" customWidth="1"/>
    <col min="4131" max="4131" width="3.5" style="2" customWidth="1"/>
    <col min="4132" max="4133" width="4.75" style="2" customWidth="1"/>
    <col min="4134" max="4134" width="5.875" style="2" customWidth="1"/>
    <col min="4135" max="4135" width="12.875" style="2" customWidth="1"/>
    <col min="4136" max="4353" width="9" style="2"/>
    <col min="4354" max="4354" width="4.375" style="2" customWidth="1"/>
    <col min="4355" max="4355" width="21.375" style="2" customWidth="1"/>
    <col min="4356" max="4356" width="17.125" style="2" customWidth="1"/>
    <col min="4357" max="4386" width="3.75" style="2" customWidth="1"/>
    <col min="4387" max="4387" width="3.5" style="2" customWidth="1"/>
    <col min="4388" max="4389" width="4.75" style="2" customWidth="1"/>
    <col min="4390" max="4390" width="5.875" style="2" customWidth="1"/>
    <col min="4391" max="4391" width="12.875" style="2" customWidth="1"/>
    <col min="4392" max="4609" width="9" style="2"/>
    <col min="4610" max="4610" width="4.375" style="2" customWidth="1"/>
    <col min="4611" max="4611" width="21.375" style="2" customWidth="1"/>
    <col min="4612" max="4612" width="17.125" style="2" customWidth="1"/>
    <col min="4613" max="4642" width="3.75" style="2" customWidth="1"/>
    <col min="4643" max="4643" width="3.5" style="2" customWidth="1"/>
    <col min="4644" max="4645" width="4.75" style="2" customWidth="1"/>
    <col min="4646" max="4646" width="5.875" style="2" customWidth="1"/>
    <col min="4647" max="4647" width="12.875" style="2" customWidth="1"/>
    <col min="4648" max="4865" width="9" style="2"/>
    <col min="4866" max="4866" width="4.375" style="2" customWidth="1"/>
    <col min="4867" max="4867" width="21.375" style="2" customWidth="1"/>
    <col min="4868" max="4868" width="17.125" style="2" customWidth="1"/>
    <col min="4869" max="4898" width="3.75" style="2" customWidth="1"/>
    <col min="4899" max="4899" width="3.5" style="2" customWidth="1"/>
    <col min="4900" max="4901" width="4.75" style="2" customWidth="1"/>
    <col min="4902" max="4902" width="5.875" style="2" customWidth="1"/>
    <col min="4903" max="4903" width="12.875" style="2" customWidth="1"/>
    <col min="4904" max="5121" width="9" style="2"/>
    <col min="5122" max="5122" width="4.375" style="2" customWidth="1"/>
    <col min="5123" max="5123" width="21.375" style="2" customWidth="1"/>
    <col min="5124" max="5124" width="17.125" style="2" customWidth="1"/>
    <col min="5125" max="5154" width="3.75" style="2" customWidth="1"/>
    <col min="5155" max="5155" width="3.5" style="2" customWidth="1"/>
    <col min="5156" max="5157" width="4.75" style="2" customWidth="1"/>
    <col min="5158" max="5158" width="5.875" style="2" customWidth="1"/>
    <col min="5159" max="5159" width="12.875" style="2" customWidth="1"/>
    <col min="5160" max="5377" width="9" style="2"/>
    <col min="5378" max="5378" width="4.375" style="2" customWidth="1"/>
    <col min="5379" max="5379" width="21.375" style="2" customWidth="1"/>
    <col min="5380" max="5380" width="17.125" style="2" customWidth="1"/>
    <col min="5381" max="5410" width="3.75" style="2" customWidth="1"/>
    <col min="5411" max="5411" width="3.5" style="2" customWidth="1"/>
    <col min="5412" max="5413" width="4.75" style="2" customWidth="1"/>
    <col min="5414" max="5414" width="5.875" style="2" customWidth="1"/>
    <col min="5415" max="5415" width="12.875" style="2" customWidth="1"/>
    <col min="5416" max="5633" width="9" style="2"/>
    <col min="5634" max="5634" width="4.375" style="2" customWidth="1"/>
    <col min="5635" max="5635" width="21.375" style="2" customWidth="1"/>
    <col min="5636" max="5636" width="17.125" style="2" customWidth="1"/>
    <col min="5637" max="5666" width="3.75" style="2" customWidth="1"/>
    <col min="5667" max="5667" width="3.5" style="2" customWidth="1"/>
    <col min="5668" max="5669" width="4.75" style="2" customWidth="1"/>
    <col min="5670" max="5670" width="5.875" style="2" customWidth="1"/>
    <col min="5671" max="5671" width="12.875" style="2" customWidth="1"/>
    <col min="5672" max="5889" width="9" style="2"/>
    <col min="5890" max="5890" width="4.375" style="2" customWidth="1"/>
    <col min="5891" max="5891" width="21.375" style="2" customWidth="1"/>
    <col min="5892" max="5892" width="17.125" style="2" customWidth="1"/>
    <col min="5893" max="5922" width="3.75" style="2" customWidth="1"/>
    <col min="5923" max="5923" width="3.5" style="2" customWidth="1"/>
    <col min="5924" max="5925" width="4.75" style="2" customWidth="1"/>
    <col min="5926" max="5926" width="5.875" style="2" customWidth="1"/>
    <col min="5927" max="5927" width="12.875" style="2" customWidth="1"/>
    <col min="5928" max="6145" width="9" style="2"/>
    <col min="6146" max="6146" width="4.375" style="2" customWidth="1"/>
    <col min="6147" max="6147" width="21.375" style="2" customWidth="1"/>
    <col min="6148" max="6148" width="17.125" style="2" customWidth="1"/>
    <col min="6149" max="6178" width="3.75" style="2" customWidth="1"/>
    <col min="6179" max="6179" width="3.5" style="2" customWidth="1"/>
    <col min="6180" max="6181" width="4.75" style="2" customWidth="1"/>
    <col min="6182" max="6182" width="5.875" style="2" customWidth="1"/>
    <col min="6183" max="6183" width="12.875" style="2" customWidth="1"/>
    <col min="6184" max="6401" width="9" style="2"/>
    <col min="6402" max="6402" width="4.375" style="2" customWidth="1"/>
    <col min="6403" max="6403" width="21.375" style="2" customWidth="1"/>
    <col min="6404" max="6404" width="17.125" style="2" customWidth="1"/>
    <col min="6405" max="6434" width="3.75" style="2" customWidth="1"/>
    <col min="6435" max="6435" width="3.5" style="2" customWidth="1"/>
    <col min="6436" max="6437" width="4.75" style="2" customWidth="1"/>
    <col min="6438" max="6438" width="5.875" style="2" customWidth="1"/>
    <col min="6439" max="6439" width="12.875" style="2" customWidth="1"/>
    <col min="6440" max="6657" width="9" style="2"/>
    <col min="6658" max="6658" width="4.375" style="2" customWidth="1"/>
    <col min="6659" max="6659" width="21.375" style="2" customWidth="1"/>
    <col min="6660" max="6660" width="17.125" style="2" customWidth="1"/>
    <col min="6661" max="6690" width="3.75" style="2" customWidth="1"/>
    <col min="6691" max="6691" width="3.5" style="2" customWidth="1"/>
    <col min="6692" max="6693" width="4.75" style="2" customWidth="1"/>
    <col min="6694" max="6694" width="5.875" style="2" customWidth="1"/>
    <col min="6695" max="6695" width="12.875" style="2" customWidth="1"/>
    <col min="6696" max="6913" width="9" style="2"/>
    <col min="6914" max="6914" width="4.375" style="2" customWidth="1"/>
    <col min="6915" max="6915" width="21.375" style="2" customWidth="1"/>
    <col min="6916" max="6916" width="17.125" style="2" customWidth="1"/>
    <col min="6917" max="6946" width="3.75" style="2" customWidth="1"/>
    <col min="6947" max="6947" width="3.5" style="2" customWidth="1"/>
    <col min="6948" max="6949" width="4.75" style="2" customWidth="1"/>
    <col min="6950" max="6950" width="5.875" style="2" customWidth="1"/>
    <col min="6951" max="6951" width="12.875" style="2" customWidth="1"/>
    <col min="6952" max="7169" width="9" style="2"/>
    <col min="7170" max="7170" width="4.375" style="2" customWidth="1"/>
    <col min="7171" max="7171" width="21.375" style="2" customWidth="1"/>
    <col min="7172" max="7172" width="17.125" style="2" customWidth="1"/>
    <col min="7173" max="7202" width="3.75" style="2" customWidth="1"/>
    <col min="7203" max="7203" width="3.5" style="2" customWidth="1"/>
    <col min="7204" max="7205" width="4.75" style="2" customWidth="1"/>
    <col min="7206" max="7206" width="5.875" style="2" customWidth="1"/>
    <col min="7207" max="7207" width="12.875" style="2" customWidth="1"/>
    <col min="7208" max="7425" width="9" style="2"/>
    <col min="7426" max="7426" width="4.375" style="2" customWidth="1"/>
    <col min="7427" max="7427" width="21.375" style="2" customWidth="1"/>
    <col min="7428" max="7428" width="17.125" style="2" customWidth="1"/>
    <col min="7429" max="7458" width="3.75" style="2" customWidth="1"/>
    <col min="7459" max="7459" width="3.5" style="2" customWidth="1"/>
    <col min="7460" max="7461" width="4.75" style="2" customWidth="1"/>
    <col min="7462" max="7462" width="5.875" style="2" customWidth="1"/>
    <col min="7463" max="7463" width="12.875" style="2" customWidth="1"/>
    <col min="7464" max="7681" width="9" style="2"/>
    <col min="7682" max="7682" width="4.375" style="2" customWidth="1"/>
    <col min="7683" max="7683" width="21.375" style="2" customWidth="1"/>
    <col min="7684" max="7684" width="17.125" style="2" customWidth="1"/>
    <col min="7685" max="7714" width="3.75" style="2" customWidth="1"/>
    <col min="7715" max="7715" width="3.5" style="2" customWidth="1"/>
    <col min="7716" max="7717" width="4.75" style="2" customWidth="1"/>
    <col min="7718" max="7718" width="5.875" style="2" customWidth="1"/>
    <col min="7719" max="7719" width="12.875" style="2" customWidth="1"/>
    <col min="7720" max="7937" width="9" style="2"/>
    <col min="7938" max="7938" width="4.375" style="2" customWidth="1"/>
    <col min="7939" max="7939" width="21.375" style="2" customWidth="1"/>
    <col min="7940" max="7940" width="17.125" style="2" customWidth="1"/>
    <col min="7941" max="7970" width="3.75" style="2" customWidth="1"/>
    <col min="7971" max="7971" width="3.5" style="2" customWidth="1"/>
    <col min="7972" max="7973" width="4.75" style="2" customWidth="1"/>
    <col min="7974" max="7974" width="5.875" style="2" customWidth="1"/>
    <col min="7975" max="7975" width="12.875" style="2" customWidth="1"/>
    <col min="7976" max="8193" width="9" style="2"/>
    <col min="8194" max="8194" width="4.375" style="2" customWidth="1"/>
    <col min="8195" max="8195" width="21.375" style="2" customWidth="1"/>
    <col min="8196" max="8196" width="17.125" style="2" customWidth="1"/>
    <col min="8197" max="8226" width="3.75" style="2" customWidth="1"/>
    <col min="8227" max="8227" width="3.5" style="2" customWidth="1"/>
    <col min="8228" max="8229" width="4.75" style="2" customWidth="1"/>
    <col min="8230" max="8230" width="5.875" style="2" customWidth="1"/>
    <col min="8231" max="8231" width="12.875" style="2" customWidth="1"/>
    <col min="8232" max="8449" width="9" style="2"/>
    <col min="8450" max="8450" width="4.375" style="2" customWidth="1"/>
    <col min="8451" max="8451" width="21.375" style="2" customWidth="1"/>
    <col min="8452" max="8452" width="17.125" style="2" customWidth="1"/>
    <col min="8453" max="8482" width="3.75" style="2" customWidth="1"/>
    <col min="8483" max="8483" width="3.5" style="2" customWidth="1"/>
    <col min="8484" max="8485" width="4.75" style="2" customWidth="1"/>
    <col min="8486" max="8486" width="5.875" style="2" customWidth="1"/>
    <col min="8487" max="8487" width="12.875" style="2" customWidth="1"/>
    <col min="8488" max="8705" width="9" style="2"/>
    <col min="8706" max="8706" width="4.375" style="2" customWidth="1"/>
    <col min="8707" max="8707" width="21.375" style="2" customWidth="1"/>
    <col min="8708" max="8708" width="17.125" style="2" customWidth="1"/>
    <col min="8709" max="8738" width="3.75" style="2" customWidth="1"/>
    <col min="8739" max="8739" width="3.5" style="2" customWidth="1"/>
    <col min="8740" max="8741" width="4.75" style="2" customWidth="1"/>
    <col min="8742" max="8742" width="5.875" style="2" customWidth="1"/>
    <col min="8743" max="8743" width="12.875" style="2" customWidth="1"/>
    <col min="8744" max="8961" width="9" style="2"/>
    <col min="8962" max="8962" width="4.375" style="2" customWidth="1"/>
    <col min="8963" max="8963" width="21.375" style="2" customWidth="1"/>
    <col min="8964" max="8964" width="17.125" style="2" customWidth="1"/>
    <col min="8965" max="8994" width="3.75" style="2" customWidth="1"/>
    <col min="8995" max="8995" width="3.5" style="2" customWidth="1"/>
    <col min="8996" max="8997" width="4.75" style="2" customWidth="1"/>
    <col min="8998" max="8998" width="5.875" style="2" customWidth="1"/>
    <col min="8999" max="8999" width="12.875" style="2" customWidth="1"/>
    <col min="9000" max="9217" width="9" style="2"/>
    <col min="9218" max="9218" width="4.375" style="2" customWidth="1"/>
    <col min="9219" max="9219" width="21.375" style="2" customWidth="1"/>
    <col min="9220" max="9220" width="17.125" style="2" customWidth="1"/>
    <col min="9221" max="9250" width="3.75" style="2" customWidth="1"/>
    <col min="9251" max="9251" width="3.5" style="2" customWidth="1"/>
    <col min="9252" max="9253" width="4.75" style="2" customWidth="1"/>
    <col min="9254" max="9254" width="5.875" style="2" customWidth="1"/>
    <col min="9255" max="9255" width="12.875" style="2" customWidth="1"/>
    <col min="9256" max="9473" width="9" style="2"/>
    <col min="9474" max="9474" width="4.375" style="2" customWidth="1"/>
    <col min="9475" max="9475" width="21.375" style="2" customWidth="1"/>
    <col min="9476" max="9476" width="17.125" style="2" customWidth="1"/>
    <col min="9477" max="9506" width="3.75" style="2" customWidth="1"/>
    <col min="9507" max="9507" width="3.5" style="2" customWidth="1"/>
    <col min="9508" max="9509" width="4.75" style="2" customWidth="1"/>
    <col min="9510" max="9510" width="5.875" style="2" customWidth="1"/>
    <col min="9511" max="9511" width="12.875" style="2" customWidth="1"/>
    <col min="9512" max="9729" width="9" style="2"/>
    <col min="9730" max="9730" width="4.375" style="2" customWidth="1"/>
    <col min="9731" max="9731" width="21.375" style="2" customWidth="1"/>
    <col min="9732" max="9732" width="17.125" style="2" customWidth="1"/>
    <col min="9733" max="9762" width="3.75" style="2" customWidth="1"/>
    <col min="9763" max="9763" width="3.5" style="2" customWidth="1"/>
    <col min="9764" max="9765" width="4.75" style="2" customWidth="1"/>
    <col min="9766" max="9766" width="5.875" style="2" customWidth="1"/>
    <col min="9767" max="9767" width="12.875" style="2" customWidth="1"/>
    <col min="9768" max="9985" width="9" style="2"/>
    <col min="9986" max="9986" width="4.375" style="2" customWidth="1"/>
    <col min="9987" max="9987" width="21.375" style="2" customWidth="1"/>
    <col min="9988" max="9988" width="17.125" style="2" customWidth="1"/>
    <col min="9989" max="10018" width="3.75" style="2" customWidth="1"/>
    <col min="10019" max="10019" width="3.5" style="2" customWidth="1"/>
    <col min="10020" max="10021" width="4.75" style="2" customWidth="1"/>
    <col min="10022" max="10022" width="5.875" style="2" customWidth="1"/>
    <col min="10023" max="10023" width="12.875" style="2" customWidth="1"/>
    <col min="10024" max="10241" width="9" style="2"/>
    <col min="10242" max="10242" width="4.375" style="2" customWidth="1"/>
    <col min="10243" max="10243" width="21.375" style="2" customWidth="1"/>
    <col min="10244" max="10244" width="17.125" style="2" customWidth="1"/>
    <col min="10245" max="10274" width="3.75" style="2" customWidth="1"/>
    <col min="10275" max="10275" width="3.5" style="2" customWidth="1"/>
    <col min="10276" max="10277" width="4.75" style="2" customWidth="1"/>
    <col min="10278" max="10278" width="5.875" style="2" customWidth="1"/>
    <col min="10279" max="10279" width="12.875" style="2" customWidth="1"/>
    <col min="10280" max="10497" width="9" style="2"/>
    <col min="10498" max="10498" width="4.375" style="2" customWidth="1"/>
    <col min="10499" max="10499" width="21.375" style="2" customWidth="1"/>
    <col min="10500" max="10500" width="17.125" style="2" customWidth="1"/>
    <col min="10501" max="10530" width="3.75" style="2" customWidth="1"/>
    <col min="10531" max="10531" width="3.5" style="2" customWidth="1"/>
    <col min="10532" max="10533" width="4.75" style="2" customWidth="1"/>
    <col min="10534" max="10534" width="5.875" style="2" customWidth="1"/>
    <col min="10535" max="10535" width="12.875" style="2" customWidth="1"/>
    <col min="10536" max="10753" width="9" style="2"/>
    <col min="10754" max="10754" width="4.375" style="2" customWidth="1"/>
    <col min="10755" max="10755" width="21.375" style="2" customWidth="1"/>
    <col min="10756" max="10756" width="17.125" style="2" customWidth="1"/>
    <col min="10757" max="10786" width="3.75" style="2" customWidth="1"/>
    <col min="10787" max="10787" width="3.5" style="2" customWidth="1"/>
    <col min="10788" max="10789" width="4.75" style="2" customWidth="1"/>
    <col min="10790" max="10790" width="5.875" style="2" customWidth="1"/>
    <col min="10791" max="10791" width="12.875" style="2" customWidth="1"/>
    <col min="10792" max="11009" width="9" style="2"/>
    <col min="11010" max="11010" width="4.375" style="2" customWidth="1"/>
    <col min="11011" max="11011" width="21.375" style="2" customWidth="1"/>
    <col min="11012" max="11012" width="17.125" style="2" customWidth="1"/>
    <col min="11013" max="11042" width="3.75" style="2" customWidth="1"/>
    <col min="11043" max="11043" width="3.5" style="2" customWidth="1"/>
    <col min="11044" max="11045" width="4.75" style="2" customWidth="1"/>
    <col min="11046" max="11046" width="5.875" style="2" customWidth="1"/>
    <col min="11047" max="11047" width="12.875" style="2" customWidth="1"/>
    <col min="11048" max="11265" width="9" style="2"/>
    <col min="11266" max="11266" width="4.375" style="2" customWidth="1"/>
    <col min="11267" max="11267" width="21.375" style="2" customWidth="1"/>
    <col min="11268" max="11268" width="17.125" style="2" customWidth="1"/>
    <col min="11269" max="11298" width="3.75" style="2" customWidth="1"/>
    <col min="11299" max="11299" width="3.5" style="2" customWidth="1"/>
    <col min="11300" max="11301" width="4.75" style="2" customWidth="1"/>
    <col min="11302" max="11302" width="5.875" style="2" customWidth="1"/>
    <col min="11303" max="11303" width="12.875" style="2" customWidth="1"/>
    <col min="11304" max="11521" width="9" style="2"/>
    <col min="11522" max="11522" width="4.375" style="2" customWidth="1"/>
    <col min="11523" max="11523" width="21.375" style="2" customWidth="1"/>
    <col min="11524" max="11524" width="17.125" style="2" customWidth="1"/>
    <col min="11525" max="11554" width="3.75" style="2" customWidth="1"/>
    <col min="11555" max="11555" width="3.5" style="2" customWidth="1"/>
    <col min="11556" max="11557" width="4.75" style="2" customWidth="1"/>
    <col min="11558" max="11558" width="5.875" style="2" customWidth="1"/>
    <col min="11559" max="11559" width="12.875" style="2" customWidth="1"/>
    <col min="11560" max="11777" width="9" style="2"/>
    <col min="11778" max="11778" width="4.375" style="2" customWidth="1"/>
    <col min="11779" max="11779" width="21.375" style="2" customWidth="1"/>
    <col min="11780" max="11780" width="17.125" style="2" customWidth="1"/>
    <col min="11781" max="11810" width="3.75" style="2" customWidth="1"/>
    <col min="11811" max="11811" width="3.5" style="2" customWidth="1"/>
    <col min="11812" max="11813" width="4.75" style="2" customWidth="1"/>
    <col min="11814" max="11814" width="5.875" style="2" customWidth="1"/>
    <col min="11815" max="11815" width="12.875" style="2" customWidth="1"/>
    <col min="11816" max="12033" width="9" style="2"/>
    <col min="12034" max="12034" width="4.375" style="2" customWidth="1"/>
    <col min="12035" max="12035" width="21.375" style="2" customWidth="1"/>
    <col min="12036" max="12036" width="17.125" style="2" customWidth="1"/>
    <col min="12037" max="12066" width="3.75" style="2" customWidth="1"/>
    <col min="12067" max="12067" width="3.5" style="2" customWidth="1"/>
    <col min="12068" max="12069" width="4.75" style="2" customWidth="1"/>
    <col min="12070" max="12070" width="5.875" style="2" customWidth="1"/>
    <col min="12071" max="12071" width="12.875" style="2" customWidth="1"/>
    <col min="12072" max="12289" width="9" style="2"/>
    <col min="12290" max="12290" width="4.375" style="2" customWidth="1"/>
    <col min="12291" max="12291" width="21.375" style="2" customWidth="1"/>
    <col min="12292" max="12292" width="17.125" style="2" customWidth="1"/>
    <col min="12293" max="12322" width="3.75" style="2" customWidth="1"/>
    <col min="12323" max="12323" width="3.5" style="2" customWidth="1"/>
    <col min="12324" max="12325" width="4.75" style="2" customWidth="1"/>
    <col min="12326" max="12326" width="5.875" style="2" customWidth="1"/>
    <col min="12327" max="12327" width="12.875" style="2" customWidth="1"/>
    <col min="12328" max="12545" width="9" style="2"/>
    <col min="12546" max="12546" width="4.375" style="2" customWidth="1"/>
    <col min="12547" max="12547" width="21.375" style="2" customWidth="1"/>
    <col min="12548" max="12548" width="17.125" style="2" customWidth="1"/>
    <col min="12549" max="12578" width="3.75" style="2" customWidth="1"/>
    <col min="12579" max="12579" width="3.5" style="2" customWidth="1"/>
    <col min="12580" max="12581" width="4.75" style="2" customWidth="1"/>
    <col min="12582" max="12582" width="5.875" style="2" customWidth="1"/>
    <col min="12583" max="12583" width="12.875" style="2" customWidth="1"/>
    <col min="12584" max="12801" width="9" style="2"/>
    <col min="12802" max="12802" width="4.375" style="2" customWidth="1"/>
    <col min="12803" max="12803" width="21.375" style="2" customWidth="1"/>
    <col min="12804" max="12804" width="17.125" style="2" customWidth="1"/>
    <col min="12805" max="12834" width="3.75" style="2" customWidth="1"/>
    <col min="12835" max="12835" width="3.5" style="2" customWidth="1"/>
    <col min="12836" max="12837" width="4.75" style="2" customWidth="1"/>
    <col min="12838" max="12838" width="5.875" style="2" customWidth="1"/>
    <col min="12839" max="12839" width="12.875" style="2" customWidth="1"/>
    <col min="12840" max="13057" width="9" style="2"/>
    <col min="13058" max="13058" width="4.375" style="2" customWidth="1"/>
    <col min="13059" max="13059" width="21.375" style="2" customWidth="1"/>
    <col min="13060" max="13060" width="17.125" style="2" customWidth="1"/>
    <col min="13061" max="13090" width="3.75" style="2" customWidth="1"/>
    <col min="13091" max="13091" width="3.5" style="2" customWidth="1"/>
    <col min="13092" max="13093" width="4.75" style="2" customWidth="1"/>
    <col min="13094" max="13094" width="5.875" style="2" customWidth="1"/>
    <col min="13095" max="13095" width="12.875" style="2" customWidth="1"/>
    <col min="13096" max="13313" width="9" style="2"/>
    <col min="13314" max="13314" width="4.375" style="2" customWidth="1"/>
    <col min="13315" max="13315" width="21.375" style="2" customWidth="1"/>
    <col min="13316" max="13316" width="17.125" style="2" customWidth="1"/>
    <col min="13317" max="13346" width="3.75" style="2" customWidth="1"/>
    <col min="13347" max="13347" width="3.5" style="2" customWidth="1"/>
    <col min="13348" max="13349" width="4.75" style="2" customWidth="1"/>
    <col min="13350" max="13350" width="5.875" style="2" customWidth="1"/>
    <col min="13351" max="13351" width="12.875" style="2" customWidth="1"/>
    <col min="13352" max="13569" width="9" style="2"/>
    <col min="13570" max="13570" width="4.375" style="2" customWidth="1"/>
    <col min="13571" max="13571" width="21.375" style="2" customWidth="1"/>
    <col min="13572" max="13572" width="17.125" style="2" customWidth="1"/>
    <col min="13573" max="13602" width="3.75" style="2" customWidth="1"/>
    <col min="13603" max="13603" width="3.5" style="2" customWidth="1"/>
    <col min="13604" max="13605" width="4.75" style="2" customWidth="1"/>
    <col min="13606" max="13606" width="5.875" style="2" customWidth="1"/>
    <col min="13607" max="13607" width="12.875" style="2" customWidth="1"/>
    <col min="13608" max="13825" width="9" style="2"/>
    <col min="13826" max="13826" width="4.375" style="2" customWidth="1"/>
    <col min="13827" max="13827" width="21.375" style="2" customWidth="1"/>
    <col min="13828" max="13828" width="17.125" style="2" customWidth="1"/>
    <col min="13829" max="13858" width="3.75" style="2" customWidth="1"/>
    <col min="13859" max="13859" width="3.5" style="2" customWidth="1"/>
    <col min="13860" max="13861" width="4.75" style="2" customWidth="1"/>
    <col min="13862" max="13862" width="5.875" style="2" customWidth="1"/>
    <col min="13863" max="13863" width="12.875" style="2" customWidth="1"/>
    <col min="13864" max="14081" width="9" style="2"/>
    <col min="14082" max="14082" width="4.375" style="2" customWidth="1"/>
    <col min="14083" max="14083" width="21.375" style="2" customWidth="1"/>
    <col min="14084" max="14084" width="17.125" style="2" customWidth="1"/>
    <col min="14085" max="14114" width="3.75" style="2" customWidth="1"/>
    <col min="14115" max="14115" width="3.5" style="2" customWidth="1"/>
    <col min="14116" max="14117" width="4.75" style="2" customWidth="1"/>
    <col min="14118" max="14118" width="5.875" style="2" customWidth="1"/>
    <col min="14119" max="14119" width="12.875" style="2" customWidth="1"/>
    <col min="14120" max="14337" width="9" style="2"/>
    <col min="14338" max="14338" width="4.375" style="2" customWidth="1"/>
    <col min="14339" max="14339" width="21.375" style="2" customWidth="1"/>
    <col min="14340" max="14340" width="17.125" style="2" customWidth="1"/>
    <col min="14341" max="14370" width="3.75" style="2" customWidth="1"/>
    <col min="14371" max="14371" width="3.5" style="2" customWidth="1"/>
    <col min="14372" max="14373" width="4.75" style="2" customWidth="1"/>
    <col min="14374" max="14374" width="5.875" style="2" customWidth="1"/>
    <col min="14375" max="14375" width="12.875" style="2" customWidth="1"/>
    <col min="14376" max="14593" width="9" style="2"/>
    <col min="14594" max="14594" width="4.375" style="2" customWidth="1"/>
    <col min="14595" max="14595" width="21.375" style="2" customWidth="1"/>
    <col min="14596" max="14596" width="17.125" style="2" customWidth="1"/>
    <col min="14597" max="14626" width="3.75" style="2" customWidth="1"/>
    <col min="14627" max="14627" width="3.5" style="2" customWidth="1"/>
    <col min="14628" max="14629" width="4.75" style="2" customWidth="1"/>
    <col min="14630" max="14630" width="5.875" style="2" customWidth="1"/>
    <col min="14631" max="14631" width="12.875" style="2" customWidth="1"/>
    <col min="14632" max="14849" width="9" style="2"/>
    <col min="14850" max="14850" width="4.375" style="2" customWidth="1"/>
    <col min="14851" max="14851" width="21.375" style="2" customWidth="1"/>
    <col min="14852" max="14852" width="17.125" style="2" customWidth="1"/>
    <col min="14853" max="14882" width="3.75" style="2" customWidth="1"/>
    <col min="14883" max="14883" width="3.5" style="2" customWidth="1"/>
    <col min="14884" max="14885" width="4.75" style="2" customWidth="1"/>
    <col min="14886" max="14886" width="5.875" style="2" customWidth="1"/>
    <col min="14887" max="14887" width="12.875" style="2" customWidth="1"/>
    <col min="14888" max="15105" width="9" style="2"/>
    <col min="15106" max="15106" width="4.375" style="2" customWidth="1"/>
    <col min="15107" max="15107" width="21.375" style="2" customWidth="1"/>
    <col min="15108" max="15108" width="17.125" style="2" customWidth="1"/>
    <col min="15109" max="15138" width="3.75" style="2" customWidth="1"/>
    <col min="15139" max="15139" width="3.5" style="2" customWidth="1"/>
    <col min="15140" max="15141" width="4.75" style="2" customWidth="1"/>
    <col min="15142" max="15142" width="5.875" style="2" customWidth="1"/>
    <col min="15143" max="15143" width="12.875" style="2" customWidth="1"/>
    <col min="15144" max="15361" width="9" style="2"/>
    <col min="15362" max="15362" width="4.375" style="2" customWidth="1"/>
    <col min="15363" max="15363" width="21.375" style="2" customWidth="1"/>
    <col min="15364" max="15364" width="17.125" style="2" customWidth="1"/>
    <col min="15365" max="15394" width="3.75" style="2" customWidth="1"/>
    <col min="15395" max="15395" width="3.5" style="2" customWidth="1"/>
    <col min="15396" max="15397" width="4.75" style="2" customWidth="1"/>
    <col min="15398" max="15398" width="5.875" style="2" customWidth="1"/>
    <col min="15399" max="15399" width="12.875" style="2" customWidth="1"/>
    <col min="15400" max="15617" width="9" style="2"/>
    <col min="15618" max="15618" width="4.375" style="2" customWidth="1"/>
    <col min="15619" max="15619" width="21.375" style="2" customWidth="1"/>
    <col min="15620" max="15620" width="17.125" style="2" customWidth="1"/>
    <col min="15621" max="15650" width="3.75" style="2" customWidth="1"/>
    <col min="15651" max="15651" width="3.5" style="2" customWidth="1"/>
    <col min="15652" max="15653" width="4.75" style="2" customWidth="1"/>
    <col min="15654" max="15654" width="5.875" style="2" customWidth="1"/>
    <col min="15655" max="15655" width="12.875" style="2" customWidth="1"/>
    <col min="15656" max="15873" width="9" style="2"/>
    <col min="15874" max="15874" width="4.375" style="2" customWidth="1"/>
    <col min="15875" max="15875" width="21.375" style="2" customWidth="1"/>
    <col min="15876" max="15876" width="17.125" style="2" customWidth="1"/>
    <col min="15877" max="15906" width="3.75" style="2" customWidth="1"/>
    <col min="15907" max="15907" width="3.5" style="2" customWidth="1"/>
    <col min="15908" max="15909" width="4.75" style="2" customWidth="1"/>
    <col min="15910" max="15910" width="5.875" style="2" customWidth="1"/>
    <col min="15911" max="15911" width="12.875" style="2" customWidth="1"/>
    <col min="15912" max="16129" width="9" style="2"/>
    <col min="16130" max="16130" width="4.375" style="2" customWidth="1"/>
    <col min="16131" max="16131" width="21.375" style="2" customWidth="1"/>
    <col min="16132" max="16132" width="17.125" style="2" customWidth="1"/>
    <col min="16133" max="16162" width="3.75" style="2" customWidth="1"/>
    <col min="16163" max="16163" width="3.5" style="2" customWidth="1"/>
    <col min="16164" max="16165" width="4.75" style="2" customWidth="1"/>
    <col min="16166" max="16166" width="5.875" style="2" customWidth="1"/>
    <col min="16167" max="16167" width="12.875" style="2" customWidth="1"/>
    <col min="16168" max="16384" width="9" style="2"/>
  </cols>
  <sheetData>
    <row r="1" spans="1:37" ht="21" x14ac:dyDescent="0.35">
      <c r="A1" s="221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</row>
    <row r="2" spans="1:37" ht="21" x14ac:dyDescent="0.35">
      <c r="A2" s="221" t="s">
        <v>112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</row>
    <row r="3" spans="1:37" ht="14.2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5"/>
    </row>
    <row r="4" spans="1:37" ht="21" x14ac:dyDescent="0.25">
      <c r="A4" s="222" t="s">
        <v>62</v>
      </c>
      <c r="B4" s="236" t="s">
        <v>1</v>
      </c>
      <c r="C4" s="237"/>
      <c r="D4" s="225" t="s">
        <v>2</v>
      </c>
      <c r="E4" s="228" t="s">
        <v>3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30" t="s">
        <v>4</v>
      </c>
      <c r="AK4" s="231"/>
    </row>
    <row r="5" spans="1:37" ht="21" x14ac:dyDescent="0.25">
      <c r="A5" s="223"/>
      <c r="B5" s="238"/>
      <c r="C5" s="239"/>
      <c r="D5" s="226"/>
      <c r="E5" s="6">
        <v>1</v>
      </c>
      <c r="F5" s="6">
        <v>2</v>
      </c>
      <c r="G5" s="6">
        <v>3</v>
      </c>
      <c r="H5" s="6">
        <v>4</v>
      </c>
      <c r="I5" s="6">
        <v>5</v>
      </c>
      <c r="J5" s="7">
        <v>6</v>
      </c>
      <c r="K5" s="7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7">
        <v>13</v>
      </c>
      <c r="R5" s="7">
        <v>14</v>
      </c>
      <c r="S5" s="6">
        <v>15</v>
      </c>
      <c r="T5" s="6">
        <v>16</v>
      </c>
      <c r="U5" s="6">
        <v>17</v>
      </c>
      <c r="V5" s="6">
        <v>18</v>
      </c>
      <c r="W5" s="6">
        <v>19</v>
      </c>
      <c r="X5" s="7">
        <v>20</v>
      </c>
      <c r="Y5" s="7">
        <v>21</v>
      </c>
      <c r="Z5" s="7">
        <v>22</v>
      </c>
      <c r="AA5" s="6">
        <v>23</v>
      </c>
      <c r="AB5" s="6">
        <v>24</v>
      </c>
      <c r="AC5" s="6">
        <v>25</v>
      </c>
      <c r="AD5" s="6">
        <v>26</v>
      </c>
      <c r="AE5" s="7">
        <v>27</v>
      </c>
      <c r="AF5" s="7">
        <v>28</v>
      </c>
      <c r="AG5" s="7">
        <v>29</v>
      </c>
      <c r="AH5" s="6">
        <v>30</v>
      </c>
      <c r="AI5" s="6">
        <v>31</v>
      </c>
      <c r="AJ5" s="232"/>
      <c r="AK5" s="233"/>
    </row>
    <row r="6" spans="1:37" ht="21" x14ac:dyDescent="0.25">
      <c r="A6" s="224"/>
      <c r="B6" s="240"/>
      <c r="C6" s="241"/>
      <c r="D6" s="227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7" t="s">
        <v>10</v>
      </c>
      <c r="K6" s="7" t="s">
        <v>11</v>
      </c>
      <c r="L6" s="6" t="s">
        <v>5</v>
      </c>
      <c r="M6" s="6" t="s">
        <v>6</v>
      </c>
      <c r="N6" s="6" t="s">
        <v>7</v>
      </c>
      <c r="O6" s="6" t="s">
        <v>8</v>
      </c>
      <c r="P6" s="6" t="s">
        <v>9</v>
      </c>
      <c r="Q6" s="7" t="s">
        <v>10</v>
      </c>
      <c r="R6" s="7" t="s">
        <v>11</v>
      </c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7" t="s">
        <v>10</v>
      </c>
      <c r="Y6" s="7" t="s">
        <v>11</v>
      </c>
      <c r="Z6" s="7" t="s">
        <v>5</v>
      </c>
      <c r="AA6" s="6" t="s">
        <v>6</v>
      </c>
      <c r="AB6" s="6" t="s">
        <v>7</v>
      </c>
      <c r="AC6" s="6" t="s">
        <v>8</v>
      </c>
      <c r="AD6" s="6" t="s">
        <v>9</v>
      </c>
      <c r="AE6" s="7" t="s">
        <v>10</v>
      </c>
      <c r="AF6" s="7" t="s">
        <v>11</v>
      </c>
      <c r="AG6" s="7" t="s">
        <v>5</v>
      </c>
      <c r="AH6" s="6" t="s">
        <v>6</v>
      </c>
      <c r="AI6" s="6" t="s">
        <v>12</v>
      </c>
      <c r="AJ6" s="234"/>
      <c r="AK6" s="235"/>
    </row>
    <row r="7" spans="1:37" ht="15.75" customHeight="1" x14ac:dyDescent="0.25">
      <c r="A7" s="242">
        <v>1</v>
      </c>
      <c r="B7" s="244" t="s">
        <v>25</v>
      </c>
      <c r="C7" s="249" t="s">
        <v>26</v>
      </c>
      <c r="D7" s="246" t="s">
        <v>29</v>
      </c>
      <c r="E7" s="55"/>
      <c r="F7" s="55"/>
      <c r="G7" s="55" t="s">
        <v>14</v>
      </c>
      <c r="H7" s="55"/>
      <c r="I7" s="55"/>
      <c r="J7" s="121" t="s">
        <v>15</v>
      </c>
      <c r="K7" s="121"/>
      <c r="L7" s="55"/>
      <c r="M7" s="55"/>
      <c r="N7" s="55"/>
      <c r="O7" s="55"/>
      <c r="P7" s="55"/>
      <c r="Q7" s="121"/>
      <c r="R7" s="121" t="s">
        <v>15</v>
      </c>
      <c r="S7" s="55"/>
      <c r="T7" s="55"/>
      <c r="U7" s="55" t="s">
        <v>14</v>
      </c>
      <c r="V7" s="55"/>
      <c r="W7" s="55"/>
      <c r="X7" s="121"/>
      <c r="Y7" s="121" t="s">
        <v>15</v>
      </c>
      <c r="Z7" s="121"/>
      <c r="AA7" s="55"/>
      <c r="AB7" s="55"/>
      <c r="AC7" s="55"/>
      <c r="AD7" s="55" t="s">
        <v>14</v>
      </c>
      <c r="AE7" s="121"/>
      <c r="AF7" s="121"/>
      <c r="AG7" s="121"/>
      <c r="AH7" s="55"/>
      <c r="AI7" s="55"/>
      <c r="AJ7" s="230"/>
      <c r="AK7" s="231"/>
    </row>
    <row r="8" spans="1:37" ht="15.75" customHeight="1" x14ac:dyDescent="0.25">
      <c r="A8" s="243"/>
      <c r="B8" s="245"/>
      <c r="C8" s="250"/>
      <c r="D8" s="247"/>
      <c r="E8" s="122" t="s">
        <v>16</v>
      </c>
      <c r="F8" s="122" t="s">
        <v>16</v>
      </c>
      <c r="G8" s="122" t="s">
        <v>16</v>
      </c>
      <c r="H8" s="122" t="s">
        <v>16</v>
      </c>
      <c r="I8" s="122" t="s">
        <v>16</v>
      </c>
      <c r="J8" s="123" t="s">
        <v>17</v>
      </c>
      <c r="K8" s="123" t="s">
        <v>17</v>
      </c>
      <c r="L8" s="122" t="s">
        <v>16</v>
      </c>
      <c r="M8" s="122" t="s">
        <v>16</v>
      </c>
      <c r="N8" s="122" t="s">
        <v>16</v>
      </c>
      <c r="O8" s="122" t="s">
        <v>16</v>
      </c>
      <c r="P8" s="122" t="s">
        <v>16</v>
      </c>
      <c r="Q8" s="123" t="s">
        <v>17</v>
      </c>
      <c r="R8" s="123" t="s">
        <v>17</v>
      </c>
      <c r="S8" s="122" t="s">
        <v>16</v>
      </c>
      <c r="T8" s="122" t="s">
        <v>16</v>
      </c>
      <c r="U8" s="122" t="s">
        <v>16</v>
      </c>
      <c r="V8" s="122" t="s">
        <v>16</v>
      </c>
      <c r="W8" s="122" t="s">
        <v>16</v>
      </c>
      <c r="X8" s="123" t="s">
        <v>17</v>
      </c>
      <c r="Y8" s="123" t="s">
        <v>17</v>
      </c>
      <c r="Z8" s="123" t="s">
        <v>17</v>
      </c>
      <c r="AA8" s="122" t="s">
        <v>16</v>
      </c>
      <c r="AB8" s="122" t="s">
        <v>16</v>
      </c>
      <c r="AC8" s="122" t="s">
        <v>16</v>
      </c>
      <c r="AD8" s="122" t="s">
        <v>16</v>
      </c>
      <c r="AE8" s="123" t="s">
        <v>17</v>
      </c>
      <c r="AF8" s="123" t="s">
        <v>17</v>
      </c>
      <c r="AG8" s="123" t="s">
        <v>17</v>
      </c>
      <c r="AH8" s="122" t="s">
        <v>16</v>
      </c>
      <c r="AI8" s="122" t="s">
        <v>16</v>
      </c>
      <c r="AJ8" s="234"/>
      <c r="AK8" s="235"/>
    </row>
    <row r="9" spans="1:37" ht="15.75" customHeight="1" x14ac:dyDescent="0.25">
      <c r="A9" s="242">
        <v>2</v>
      </c>
      <c r="B9" s="244" t="s">
        <v>27</v>
      </c>
      <c r="C9" s="249" t="s">
        <v>28</v>
      </c>
      <c r="D9" s="246" t="s">
        <v>13</v>
      </c>
      <c r="E9" s="55"/>
      <c r="F9" s="55"/>
      <c r="G9" s="55" t="s">
        <v>14</v>
      </c>
      <c r="H9" s="55" t="s">
        <v>14</v>
      </c>
      <c r="I9" s="55"/>
      <c r="J9" s="121"/>
      <c r="K9" s="121" t="s">
        <v>15</v>
      </c>
      <c r="L9" s="55"/>
      <c r="M9" s="55"/>
      <c r="N9" s="55" t="s">
        <v>14</v>
      </c>
      <c r="O9" s="55"/>
      <c r="P9" s="55"/>
      <c r="Q9" s="121" t="s">
        <v>15</v>
      </c>
      <c r="R9" s="121"/>
      <c r="S9" s="55"/>
      <c r="T9" s="55"/>
      <c r="U9" s="55"/>
      <c r="V9" s="55"/>
      <c r="W9" s="55"/>
      <c r="X9" s="121"/>
      <c r="Y9" s="121"/>
      <c r="Z9" s="121" t="s">
        <v>15</v>
      </c>
      <c r="AA9" s="55"/>
      <c r="AB9" s="55"/>
      <c r="AC9" s="55"/>
      <c r="AD9" s="55" t="s">
        <v>14</v>
      </c>
      <c r="AE9" s="121"/>
      <c r="AF9" s="121" t="s">
        <v>15</v>
      </c>
      <c r="AG9" s="121"/>
      <c r="AH9" s="55"/>
      <c r="AI9" s="55"/>
      <c r="AJ9" s="230"/>
      <c r="AK9" s="231"/>
    </row>
    <row r="10" spans="1:37" ht="15.75" customHeight="1" x14ac:dyDescent="0.25">
      <c r="A10" s="243"/>
      <c r="B10" s="245"/>
      <c r="C10" s="250"/>
      <c r="D10" s="247"/>
      <c r="E10" s="122" t="s">
        <v>16</v>
      </c>
      <c r="F10" s="122" t="s">
        <v>16</v>
      </c>
      <c r="G10" s="122" t="s">
        <v>16</v>
      </c>
      <c r="H10" s="122" t="s">
        <v>16</v>
      </c>
      <c r="I10" s="122" t="s">
        <v>16</v>
      </c>
      <c r="J10" s="123" t="s">
        <v>17</v>
      </c>
      <c r="K10" s="123" t="s">
        <v>17</v>
      </c>
      <c r="L10" s="122" t="s">
        <v>16</v>
      </c>
      <c r="M10" s="122" t="s">
        <v>16</v>
      </c>
      <c r="N10" s="122" t="s">
        <v>16</v>
      </c>
      <c r="O10" s="122" t="s">
        <v>16</v>
      </c>
      <c r="P10" s="122" t="s">
        <v>16</v>
      </c>
      <c r="Q10" s="123" t="s">
        <v>17</v>
      </c>
      <c r="R10" s="123" t="s">
        <v>17</v>
      </c>
      <c r="S10" s="122" t="s">
        <v>16</v>
      </c>
      <c r="T10" s="122" t="s">
        <v>16</v>
      </c>
      <c r="U10" s="122" t="s">
        <v>16</v>
      </c>
      <c r="V10" s="122" t="s">
        <v>16</v>
      </c>
      <c r="W10" s="122" t="s">
        <v>16</v>
      </c>
      <c r="X10" s="123" t="s">
        <v>17</v>
      </c>
      <c r="Y10" s="123" t="s">
        <v>17</v>
      </c>
      <c r="Z10" s="123" t="s">
        <v>17</v>
      </c>
      <c r="AA10" s="122" t="s">
        <v>16</v>
      </c>
      <c r="AB10" s="122" t="s">
        <v>16</v>
      </c>
      <c r="AC10" s="122" t="s">
        <v>16</v>
      </c>
      <c r="AD10" s="122" t="s">
        <v>16</v>
      </c>
      <c r="AE10" s="123" t="s">
        <v>17</v>
      </c>
      <c r="AF10" s="123" t="s">
        <v>17</v>
      </c>
      <c r="AG10" s="123" t="s">
        <v>17</v>
      </c>
      <c r="AH10" s="122" t="s">
        <v>16</v>
      </c>
      <c r="AI10" s="122" t="s">
        <v>16</v>
      </c>
      <c r="AJ10" s="234"/>
      <c r="AK10" s="235"/>
    </row>
    <row r="11" spans="1:37" ht="21" x14ac:dyDescent="0.35">
      <c r="A11" s="11"/>
      <c r="B11" s="12"/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6"/>
    </row>
    <row r="12" spans="1:37" ht="21" x14ac:dyDescent="0.35">
      <c r="A12" s="13"/>
      <c r="B12" s="27" t="s">
        <v>124</v>
      </c>
      <c r="C12" s="14"/>
      <c r="D12" s="13"/>
      <c r="E12" s="15"/>
      <c r="F12" s="13"/>
      <c r="G12" s="13"/>
      <c r="H12" s="248" t="s">
        <v>18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13"/>
      <c r="V12" s="13"/>
      <c r="W12" s="13"/>
      <c r="X12" s="13"/>
      <c r="Y12" s="248" t="s">
        <v>19</v>
      </c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16"/>
    </row>
    <row r="13" spans="1:37" ht="21" x14ac:dyDescent="0.35">
      <c r="A13" s="308" t="s">
        <v>16</v>
      </c>
      <c r="B13" s="309" t="s">
        <v>30</v>
      </c>
      <c r="C13" s="17"/>
      <c r="D13" s="15"/>
      <c r="E13" s="15"/>
      <c r="F13" s="13"/>
      <c r="G13" s="13"/>
      <c r="H13" s="253" t="s">
        <v>20</v>
      </c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13"/>
      <c r="U13" s="13"/>
      <c r="V13" s="13"/>
      <c r="W13" s="13"/>
      <c r="X13" s="13"/>
      <c r="Y13" s="253" t="s">
        <v>21</v>
      </c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13"/>
    </row>
    <row r="14" spans="1:37" ht="21" x14ac:dyDescent="0.35">
      <c r="A14" s="308" t="s">
        <v>14</v>
      </c>
      <c r="B14" s="309" t="s">
        <v>31</v>
      </c>
      <c r="C14" s="17"/>
      <c r="D14" s="15"/>
      <c r="E14" s="15"/>
      <c r="F14" s="18"/>
      <c r="G14" s="18"/>
      <c r="H14" s="252" t="s">
        <v>22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18"/>
      <c r="U14" s="15"/>
      <c r="V14" s="15"/>
      <c r="W14" s="15"/>
      <c r="X14" s="15"/>
      <c r="Y14" s="252" t="s">
        <v>23</v>
      </c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13"/>
    </row>
    <row r="15" spans="1:37" ht="21" x14ac:dyDescent="0.35">
      <c r="A15" s="308" t="s">
        <v>15</v>
      </c>
      <c r="B15" s="309" t="s">
        <v>32</v>
      </c>
      <c r="C15" s="17"/>
      <c r="D15" s="15"/>
      <c r="H15" s="252" t="s">
        <v>24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U15" s="15"/>
      <c r="V15" s="15"/>
      <c r="W15" s="15"/>
      <c r="X15" s="15"/>
      <c r="Y15" s="252" t="s">
        <v>111</v>
      </c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</row>
    <row r="16" spans="1:37" ht="21" x14ac:dyDescent="0.3"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8" spans="5:37" ht="21" x14ac:dyDescent="0.35"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</sheetData>
  <mergeCells count="25">
    <mergeCell ref="H13:S13"/>
    <mergeCell ref="Y13:AJ13"/>
    <mergeCell ref="H14:S14"/>
    <mergeCell ref="Y14:AJ14"/>
    <mergeCell ref="H15:S15"/>
    <mergeCell ref="Y15:AJ15"/>
    <mergeCell ref="A7:A8"/>
    <mergeCell ref="B7:B8"/>
    <mergeCell ref="D7:D8"/>
    <mergeCell ref="AJ7:AK8"/>
    <mergeCell ref="H12:T12"/>
    <mergeCell ref="Y12:AJ12"/>
    <mergeCell ref="A9:A10"/>
    <mergeCell ref="B9:B10"/>
    <mergeCell ref="D9:D10"/>
    <mergeCell ref="AJ9:AK10"/>
    <mergeCell ref="C7:C8"/>
    <mergeCell ref="C9:C10"/>
    <mergeCell ref="A1:AK1"/>
    <mergeCell ref="A2:AK2"/>
    <mergeCell ref="A4:A6"/>
    <mergeCell ref="D4:D6"/>
    <mergeCell ref="E4:AI4"/>
    <mergeCell ref="AJ4:AK6"/>
    <mergeCell ref="B4:C6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5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A932-99EA-4F10-A661-9B0751A92687}">
  <sheetPr>
    <tabColor theme="7" tint="0.59999389629810485"/>
    <pageSetUpPr fitToPage="1"/>
  </sheetPr>
  <dimension ref="A1:AL18"/>
  <sheetViews>
    <sheetView workbookViewId="0">
      <selection activeCell="C20" sqref="C20"/>
    </sheetView>
  </sheetViews>
  <sheetFormatPr defaultRowHeight="19.5" x14ac:dyDescent="0.3"/>
  <cols>
    <col min="1" max="1" width="4.375" style="19" customWidth="1"/>
    <col min="2" max="2" width="11.625" style="20" customWidth="1"/>
    <col min="3" max="3" width="13.625" style="20" customWidth="1"/>
    <col min="4" max="4" width="19.125" style="20" customWidth="1"/>
    <col min="5" max="13" width="3.75" style="1" customWidth="1"/>
    <col min="14" max="34" width="3.75" style="14" customWidth="1"/>
    <col min="35" max="35" width="3.5" style="14" customWidth="1"/>
    <col min="36" max="37" width="4.75" style="1" customWidth="1"/>
    <col min="38" max="38" width="5.875" style="1" customWidth="1"/>
    <col min="39" max="39" width="12.875" style="2" customWidth="1"/>
    <col min="40" max="257" width="9" style="2"/>
    <col min="258" max="258" width="4.375" style="2" customWidth="1"/>
    <col min="259" max="259" width="21.375" style="2" customWidth="1"/>
    <col min="260" max="260" width="17.125" style="2" customWidth="1"/>
    <col min="261" max="290" width="3.75" style="2" customWidth="1"/>
    <col min="291" max="291" width="3.5" style="2" customWidth="1"/>
    <col min="292" max="293" width="4.75" style="2" customWidth="1"/>
    <col min="294" max="294" width="5.875" style="2" customWidth="1"/>
    <col min="295" max="295" width="12.875" style="2" customWidth="1"/>
    <col min="296" max="513" width="9" style="2"/>
    <col min="514" max="514" width="4.375" style="2" customWidth="1"/>
    <col min="515" max="515" width="21.375" style="2" customWidth="1"/>
    <col min="516" max="516" width="17.125" style="2" customWidth="1"/>
    <col min="517" max="546" width="3.75" style="2" customWidth="1"/>
    <col min="547" max="547" width="3.5" style="2" customWidth="1"/>
    <col min="548" max="549" width="4.75" style="2" customWidth="1"/>
    <col min="550" max="550" width="5.875" style="2" customWidth="1"/>
    <col min="551" max="551" width="12.875" style="2" customWidth="1"/>
    <col min="552" max="769" width="9" style="2"/>
    <col min="770" max="770" width="4.375" style="2" customWidth="1"/>
    <col min="771" max="771" width="21.375" style="2" customWidth="1"/>
    <col min="772" max="772" width="17.125" style="2" customWidth="1"/>
    <col min="773" max="802" width="3.75" style="2" customWidth="1"/>
    <col min="803" max="803" width="3.5" style="2" customWidth="1"/>
    <col min="804" max="805" width="4.75" style="2" customWidth="1"/>
    <col min="806" max="806" width="5.875" style="2" customWidth="1"/>
    <col min="807" max="807" width="12.875" style="2" customWidth="1"/>
    <col min="808" max="1025" width="9" style="2"/>
    <col min="1026" max="1026" width="4.375" style="2" customWidth="1"/>
    <col min="1027" max="1027" width="21.375" style="2" customWidth="1"/>
    <col min="1028" max="1028" width="17.125" style="2" customWidth="1"/>
    <col min="1029" max="1058" width="3.75" style="2" customWidth="1"/>
    <col min="1059" max="1059" width="3.5" style="2" customWidth="1"/>
    <col min="1060" max="1061" width="4.75" style="2" customWidth="1"/>
    <col min="1062" max="1062" width="5.875" style="2" customWidth="1"/>
    <col min="1063" max="1063" width="12.875" style="2" customWidth="1"/>
    <col min="1064" max="1281" width="9" style="2"/>
    <col min="1282" max="1282" width="4.375" style="2" customWidth="1"/>
    <col min="1283" max="1283" width="21.375" style="2" customWidth="1"/>
    <col min="1284" max="1284" width="17.125" style="2" customWidth="1"/>
    <col min="1285" max="1314" width="3.75" style="2" customWidth="1"/>
    <col min="1315" max="1315" width="3.5" style="2" customWidth="1"/>
    <col min="1316" max="1317" width="4.75" style="2" customWidth="1"/>
    <col min="1318" max="1318" width="5.875" style="2" customWidth="1"/>
    <col min="1319" max="1319" width="12.875" style="2" customWidth="1"/>
    <col min="1320" max="1537" width="9" style="2"/>
    <col min="1538" max="1538" width="4.375" style="2" customWidth="1"/>
    <col min="1539" max="1539" width="21.375" style="2" customWidth="1"/>
    <col min="1540" max="1540" width="17.125" style="2" customWidth="1"/>
    <col min="1541" max="1570" width="3.75" style="2" customWidth="1"/>
    <col min="1571" max="1571" width="3.5" style="2" customWidth="1"/>
    <col min="1572" max="1573" width="4.75" style="2" customWidth="1"/>
    <col min="1574" max="1574" width="5.875" style="2" customWidth="1"/>
    <col min="1575" max="1575" width="12.875" style="2" customWidth="1"/>
    <col min="1576" max="1793" width="9" style="2"/>
    <col min="1794" max="1794" width="4.375" style="2" customWidth="1"/>
    <col min="1795" max="1795" width="21.375" style="2" customWidth="1"/>
    <col min="1796" max="1796" width="17.125" style="2" customWidth="1"/>
    <col min="1797" max="1826" width="3.75" style="2" customWidth="1"/>
    <col min="1827" max="1827" width="3.5" style="2" customWidth="1"/>
    <col min="1828" max="1829" width="4.75" style="2" customWidth="1"/>
    <col min="1830" max="1830" width="5.875" style="2" customWidth="1"/>
    <col min="1831" max="1831" width="12.875" style="2" customWidth="1"/>
    <col min="1832" max="2049" width="9" style="2"/>
    <col min="2050" max="2050" width="4.375" style="2" customWidth="1"/>
    <col min="2051" max="2051" width="21.375" style="2" customWidth="1"/>
    <col min="2052" max="2052" width="17.125" style="2" customWidth="1"/>
    <col min="2053" max="2082" width="3.75" style="2" customWidth="1"/>
    <col min="2083" max="2083" width="3.5" style="2" customWidth="1"/>
    <col min="2084" max="2085" width="4.75" style="2" customWidth="1"/>
    <col min="2086" max="2086" width="5.875" style="2" customWidth="1"/>
    <col min="2087" max="2087" width="12.875" style="2" customWidth="1"/>
    <col min="2088" max="2305" width="9" style="2"/>
    <col min="2306" max="2306" width="4.375" style="2" customWidth="1"/>
    <col min="2307" max="2307" width="21.375" style="2" customWidth="1"/>
    <col min="2308" max="2308" width="17.125" style="2" customWidth="1"/>
    <col min="2309" max="2338" width="3.75" style="2" customWidth="1"/>
    <col min="2339" max="2339" width="3.5" style="2" customWidth="1"/>
    <col min="2340" max="2341" width="4.75" style="2" customWidth="1"/>
    <col min="2342" max="2342" width="5.875" style="2" customWidth="1"/>
    <col min="2343" max="2343" width="12.875" style="2" customWidth="1"/>
    <col min="2344" max="2561" width="9" style="2"/>
    <col min="2562" max="2562" width="4.375" style="2" customWidth="1"/>
    <col min="2563" max="2563" width="21.375" style="2" customWidth="1"/>
    <col min="2564" max="2564" width="17.125" style="2" customWidth="1"/>
    <col min="2565" max="2594" width="3.75" style="2" customWidth="1"/>
    <col min="2595" max="2595" width="3.5" style="2" customWidth="1"/>
    <col min="2596" max="2597" width="4.75" style="2" customWidth="1"/>
    <col min="2598" max="2598" width="5.875" style="2" customWidth="1"/>
    <col min="2599" max="2599" width="12.875" style="2" customWidth="1"/>
    <col min="2600" max="2817" width="9" style="2"/>
    <col min="2818" max="2818" width="4.375" style="2" customWidth="1"/>
    <col min="2819" max="2819" width="21.375" style="2" customWidth="1"/>
    <col min="2820" max="2820" width="17.125" style="2" customWidth="1"/>
    <col min="2821" max="2850" width="3.75" style="2" customWidth="1"/>
    <col min="2851" max="2851" width="3.5" style="2" customWidth="1"/>
    <col min="2852" max="2853" width="4.75" style="2" customWidth="1"/>
    <col min="2854" max="2854" width="5.875" style="2" customWidth="1"/>
    <col min="2855" max="2855" width="12.875" style="2" customWidth="1"/>
    <col min="2856" max="3073" width="9" style="2"/>
    <col min="3074" max="3074" width="4.375" style="2" customWidth="1"/>
    <col min="3075" max="3075" width="21.375" style="2" customWidth="1"/>
    <col min="3076" max="3076" width="17.125" style="2" customWidth="1"/>
    <col min="3077" max="3106" width="3.75" style="2" customWidth="1"/>
    <col min="3107" max="3107" width="3.5" style="2" customWidth="1"/>
    <col min="3108" max="3109" width="4.75" style="2" customWidth="1"/>
    <col min="3110" max="3110" width="5.875" style="2" customWidth="1"/>
    <col min="3111" max="3111" width="12.875" style="2" customWidth="1"/>
    <col min="3112" max="3329" width="9" style="2"/>
    <col min="3330" max="3330" width="4.375" style="2" customWidth="1"/>
    <col min="3331" max="3331" width="21.375" style="2" customWidth="1"/>
    <col min="3332" max="3332" width="17.125" style="2" customWidth="1"/>
    <col min="3333" max="3362" width="3.75" style="2" customWidth="1"/>
    <col min="3363" max="3363" width="3.5" style="2" customWidth="1"/>
    <col min="3364" max="3365" width="4.75" style="2" customWidth="1"/>
    <col min="3366" max="3366" width="5.875" style="2" customWidth="1"/>
    <col min="3367" max="3367" width="12.875" style="2" customWidth="1"/>
    <col min="3368" max="3585" width="9" style="2"/>
    <col min="3586" max="3586" width="4.375" style="2" customWidth="1"/>
    <col min="3587" max="3587" width="21.375" style="2" customWidth="1"/>
    <col min="3588" max="3588" width="17.125" style="2" customWidth="1"/>
    <col min="3589" max="3618" width="3.75" style="2" customWidth="1"/>
    <col min="3619" max="3619" width="3.5" style="2" customWidth="1"/>
    <col min="3620" max="3621" width="4.75" style="2" customWidth="1"/>
    <col min="3622" max="3622" width="5.875" style="2" customWidth="1"/>
    <col min="3623" max="3623" width="12.875" style="2" customWidth="1"/>
    <col min="3624" max="3841" width="9" style="2"/>
    <col min="3842" max="3842" width="4.375" style="2" customWidth="1"/>
    <col min="3843" max="3843" width="21.375" style="2" customWidth="1"/>
    <col min="3844" max="3844" width="17.125" style="2" customWidth="1"/>
    <col min="3845" max="3874" width="3.75" style="2" customWidth="1"/>
    <col min="3875" max="3875" width="3.5" style="2" customWidth="1"/>
    <col min="3876" max="3877" width="4.75" style="2" customWidth="1"/>
    <col min="3878" max="3878" width="5.875" style="2" customWidth="1"/>
    <col min="3879" max="3879" width="12.875" style="2" customWidth="1"/>
    <col min="3880" max="4097" width="9" style="2"/>
    <col min="4098" max="4098" width="4.375" style="2" customWidth="1"/>
    <col min="4099" max="4099" width="21.375" style="2" customWidth="1"/>
    <col min="4100" max="4100" width="17.125" style="2" customWidth="1"/>
    <col min="4101" max="4130" width="3.75" style="2" customWidth="1"/>
    <col min="4131" max="4131" width="3.5" style="2" customWidth="1"/>
    <col min="4132" max="4133" width="4.75" style="2" customWidth="1"/>
    <col min="4134" max="4134" width="5.875" style="2" customWidth="1"/>
    <col min="4135" max="4135" width="12.875" style="2" customWidth="1"/>
    <col min="4136" max="4353" width="9" style="2"/>
    <col min="4354" max="4354" width="4.375" style="2" customWidth="1"/>
    <col min="4355" max="4355" width="21.375" style="2" customWidth="1"/>
    <col min="4356" max="4356" width="17.125" style="2" customWidth="1"/>
    <col min="4357" max="4386" width="3.75" style="2" customWidth="1"/>
    <col min="4387" max="4387" width="3.5" style="2" customWidth="1"/>
    <col min="4388" max="4389" width="4.75" style="2" customWidth="1"/>
    <col min="4390" max="4390" width="5.875" style="2" customWidth="1"/>
    <col min="4391" max="4391" width="12.875" style="2" customWidth="1"/>
    <col min="4392" max="4609" width="9" style="2"/>
    <col min="4610" max="4610" width="4.375" style="2" customWidth="1"/>
    <col min="4611" max="4611" width="21.375" style="2" customWidth="1"/>
    <col min="4612" max="4612" width="17.125" style="2" customWidth="1"/>
    <col min="4613" max="4642" width="3.75" style="2" customWidth="1"/>
    <col min="4643" max="4643" width="3.5" style="2" customWidth="1"/>
    <col min="4644" max="4645" width="4.75" style="2" customWidth="1"/>
    <col min="4646" max="4646" width="5.875" style="2" customWidth="1"/>
    <col min="4647" max="4647" width="12.875" style="2" customWidth="1"/>
    <col min="4648" max="4865" width="9" style="2"/>
    <col min="4866" max="4866" width="4.375" style="2" customWidth="1"/>
    <col min="4867" max="4867" width="21.375" style="2" customWidth="1"/>
    <col min="4868" max="4868" width="17.125" style="2" customWidth="1"/>
    <col min="4869" max="4898" width="3.75" style="2" customWidth="1"/>
    <col min="4899" max="4899" width="3.5" style="2" customWidth="1"/>
    <col min="4900" max="4901" width="4.75" style="2" customWidth="1"/>
    <col min="4902" max="4902" width="5.875" style="2" customWidth="1"/>
    <col min="4903" max="4903" width="12.875" style="2" customWidth="1"/>
    <col min="4904" max="5121" width="9" style="2"/>
    <col min="5122" max="5122" width="4.375" style="2" customWidth="1"/>
    <col min="5123" max="5123" width="21.375" style="2" customWidth="1"/>
    <col min="5124" max="5124" width="17.125" style="2" customWidth="1"/>
    <col min="5125" max="5154" width="3.75" style="2" customWidth="1"/>
    <col min="5155" max="5155" width="3.5" style="2" customWidth="1"/>
    <col min="5156" max="5157" width="4.75" style="2" customWidth="1"/>
    <col min="5158" max="5158" width="5.875" style="2" customWidth="1"/>
    <col min="5159" max="5159" width="12.875" style="2" customWidth="1"/>
    <col min="5160" max="5377" width="9" style="2"/>
    <col min="5378" max="5378" width="4.375" style="2" customWidth="1"/>
    <col min="5379" max="5379" width="21.375" style="2" customWidth="1"/>
    <col min="5380" max="5380" width="17.125" style="2" customWidth="1"/>
    <col min="5381" max="5410" width="3.75" style="2" customWidth="1"/>
    <col min="5411" max="5411" width="3.5" style="2" customWidth="1"/>
    <col min="5412" max="5413" width="4.75" style="2" customWidth="1"/>
    <col min="5414" max="5414" width="5.875" style="2" customWidth="1"/>
    <col min="5415" max="5415" width="12.875" style="2" customWidth="1"/>
    <col min="5416" max="5633" width="9" style="2"/>
    <col min="5634" max="5634" width="4.375" style="2" customWidth="1"/>
    <col min="5635" max="5635" width="21.375" style="2" customWidth="1"/>
    <col min="5636" max="5636" width="17.125" style="2" customWidth="1"/>
    <col min="5637" max="5666" width="3.75" style="2" customWidth="1"/>
    <col min="5667" max="5667" width="3.5" style="2" customWidth="1"/>
    <col min="5668" max="5669" width="4.75" style="2" customWidth="1"/>
    <col min="5670" max="5670" width="5.875" style="2" customWidth="1"/>
    <col min="5671" max="5671" width="12.875" style="2" customWidth="1"/>
    <col min="5672" max="5889" width="9" style="2"/>
    <col min="5890" max="5890" width="4.375" style="2" customWidth="1"/>
    <col min="5891" max="5891" width="21.375" style="2" customWidth="1"/>
    <col min="5892" max="5892" width="17.125" style="2" customWidth="1"/>
    <col min="5893" max="5922" width="3.75" style="2" customWidth="1"/>
    <col min="5923" max="5923" width="3.5" style="2" customWidth="1"/>
    <col min="5924" max="5925" width="4.75" style="2" customWidth="1"/>
    <col min="5926" max="5926" width="5.875" style="2" customWidth="1"/>
    <col min="5927" max="5927" width="12.875" style="2" customWidth="1"/>
    <col min="5928" max="6145" width="9" style="2"/>
    <col min="6146" max="6146" width="4.375" style="2" customWidth="1"/>
    <col min="6147" max="6147" width="21.375" style="2" customWidth="1"/>
    <col min="6148" max="6148" width="17.125" style="2" customWidth="1"/>
    <col min="6149" max="6178" width="3.75" style="2" customWidth="1"/>
    <col min="6179" max="6179" width="3.5" style="2" customWidth="1"/>
    <col min="6180" max="6181" width="4.75" style="2" customWidth="1"/>
    <col min="6182" max="6182" width="5.875" style="2" customWidth="1"/>
    <col min="6183" max="6183" width="12.875" style="2" customWidth="1"/>
    <col min="6184" max="6401" width="9" style="2"/>
    <col min="6402" max="6402" width="4.375" style="2" customWidth="1"/>
    <col min="6403" max="6403" width="21.375" style="2" customWidth="1"/>
    <col min="6404" max="6404" width="17.125" style="2" customWidth="1"/>
    <col min="6405" max="6434" width="3.75" style="2" customWidth="1"/>
    <col min="6435" max="6435" width="3.5" style="2" customWidth="1"/>
    <col min="6436" max="6437" width="4.75" style="2" customWidth="1"/>
    <col min="6438" max="6438" width="5.875" style="2" customWidth="1"/>
    <col min="6439" max="6439" width="12.875" style="2" customWidth="1"/>
    <col min="6440" max="6657" width="9" style="2"/>
    <col min="6658" max="6658" width="4.375" style="2" customWidth="1"/>
    <col min="6659" max="6659" width="21.375" style="2" customWidth="1"/>
    <col min="6660" max="6660" width="17.125" style="2" customWidth="1"/>
    <col min="6661" max="6690" width="3.75" style="2" customWidth="1"/>
    <col min="6691" max="6691" width="3.5" style="2" customWidth="1"/>
    <col min="6692" max="6693" width="4.75" style="2" customWidth="1"/>
    <col min="6694" max="6694" width="5.875" style="2" customWidth="1"/>
    <col min="6695" max="6695" width="12.875" style="2" customWidth="1"/>
    <col min="6696" max="6913" width="9" style="2"/>
    <col min="6914" max="6914" width="4.375" style="2" customWidth="1"/>
    <col min="6915" max="6915" width="21.375" style="2" customWidth="1"/>
    <col min="6916" max="6916" width="17.125" style="2" customWidth="1"/>
    <col min="6917" max="6946" width="3.75" style="2" customWidth="1"/>
    <col min="6947" max="6947" width="3.5" style="2" customWidth="1"/>
    <col min="6948" max="6949" width="4.75" style="2" customWidth="1"/>
    <col min="6950" max="6950" width="5.875" style="2" customWidth="1"/>
    <col min="6951" max="6951" width="12.875" style="2" customWidth="1"/>
    <col min="6952" max="7169" width="9" style="2"/>
    <col min="7170" max="7170" width="4.375" style="2" customWidth="1"/>
    <col min="7171" max="7171" width="21.375" style="2" customWidth="1"/>
    <col min="7172" max="7172" width="17.125" style="2" customWidth="1"/>
    <col min="7173" max="7202" width="3.75" style="2" customWidth="1"/>
    <col min="7203" max="7203" width="3.5" style="2" customWidth="1"/>
    <col min="7204" max="7205" width="4.75" style="2" customWidth="1"/>
    <col min="7206" max="7206" width="5.875" style="2" customWidth="1"/>
    <col min="7207" max="7207" width="12.875" style="2" customWidth="1"/>
    <col min="7208" max="7425" width="9" style="2"/>
    <col min="7426" max="7426" width="4.375" style="2" customWidth="1"/>
    <col min="7427" max="7427" width="21.375" style="2" customWidth="1"/>
    <col min="7428" max="7428" width="17.125" style="2" customWidth="1"/>
    <col min="7429" max="7458" width="3.75" style="2" customWidth="1"/>
    <col min="7459" max="7459" width="3.5" style="2" customWidth="1"/>
    <col min="7460" max="7461" width="4.75" style="2" customWidth="1"/>
    <col min="7462" max="7462" width="5.875" style="2" customWidth="1"/>
    <col min="7463" max="7463" width="12.875" style="2" customWidth="1"/>
    <col min="7464" max="7681" width="9" style="2"/>
    <col min="7682" max="7682" width="4.375" style="2" customWidth="1"/>
    <col min="7683" max="7683" width="21.375" style="2" customWidth="1"/>
    <col min="7684" max="7684" width="17.125" style="2" customWidth="1"/>
    <col min="7685" max="7714" width="3.75" style="2" customWidth="1"/>
    <col min="7715" max="7715" width="3.5" style="2" customWidth="1"/>
    <col min="7716" max="7717" width="4.75" style="2" customWidth="1"/>
    <col min="7718" max="7718" width="5.875" style="2" customWidth="1"/>
    <col min="7719" max="7719" width="12.875" style="2" customWidth="1"/>
    <col min="7720" max="7937" width="9" style="2"/>
    <col min="7938" max="7938" width="4.375" style="2" customWidth="1"/>
    <col min="7939" max="7939" width="21.375" style="2" customWidth="1"/>
    <col min="7940" max="7940" width="17.125" style="2" customWidth="1"/>
    <col min="7941" max="7970" width="3.75" style="2" customWidth="1"/>
    <col min="7971" max="7971" width="3.5" style="2" customWidth="1"/>
    <col min="7972" max="7973" width="4.75" style="2" customWidth="1"/>
    <col min="7974" max="7974" width="5.875" style="2" customWidth="1"/>
    <col min="7975" max="7975" width="12.875" style="2" customWidth="1"/>
    <col min="7976" max="8193" width="9" style="2"/>
    <col min="8194" max="8194" width="4.375" style="2" customWidth="1"/>
    <col min="8195" max="8195" width="21.375" style="2" customWidth="1"/>
    <col min="8196" max="8196" width="17.125" style="2" customWidth="1"/>
    <col min="8197" max="8226" width="3.75" style="2" customWidth="1"/>
    <col min="8227" max="8227" width="3.5" style="2" customWidth="1"/>
    <col min="8228" max="8229" width="4.75" style="2" customWidth="1"/>
    <col min="8230" max="8230" width="5.875" style="2" customWidth="1"/>
    <col min="8231" max="8231" width="12.875" style="2" customWidth="1"/>
    <col min="8232" max="8449" width="9" style="2"/>
    <col min="8450" max="8450" width="4.375" style="2" customWidth="1"/>
    <col min="8451" max="8451" width="21.375" style="2" customWidth="1"/>
    <col min="8452" max="8452" width="17.125" style="2" customWidth="1"/>
    <col min="8453" max="8482" width="3.75" style="2" customWidth="1"/>
    <col min="8483" max="8483" width="3.5" style="2" customWidth="1"/>
    <col min="8484" max="8485" width="4.75" style="2" customWidth="1"/>
    <col min="8486" max="8486" width="5.875" style="2" customWidth="1"/>
    <col min="8487" max="8487" width="12.875" style="2" customWidth="1"/>
    <col min="8488" max="8705" width="9" style="2"/>
    <col min="8706" max="8706" width="4.375" style="2" customWidth="1"/>
    <col min="8707" max="8707" width="21.375" style="2" customWidth="1"/>
    <col min="8708" max="8708" width="17.125" style="2" customWidth="1"/>
    <col min="8709" max="8738" width="3.75" style="2" customWidth="1"/>
    <col min="8739" max="8739" width="3.5" style="2" customWidth="1"/>
    <col min="8740" max="8741" width="4.75" style="2" customWidth="1"/>
    <col min="8742" max="8742" width="5.875" style="2" customWidth="1"/>
    <col min="8743" max="8743" width="12.875" style="2" customWidth="1"/>
    <col min="8744" max="8961" width="9" style="2"/>
    <col min="8962" max="8962" width="4.375" style="2" customWidth="1"/>
    <col min="8963" max="8963" width="21.375" style="2" customWidth="1"/>
    <col min="8964" max="8964" width="17.125" style="2" customWidth="1"/>
    <col min="8965" max="8994" width="3.75" style="2" customWidth="1"/>
    <col min="8995" max="8995" width="3.5" style="2" customWidth="1"/>
    <col min="8996" max="8997" width="4.75" style="2" customWidth="1"/>
    <col min="8998" max="8998" width="5.875" style="2" customWidth="1"/>
    <col min="8999" max="8999" width="12.875" style="2" customWidth="1"/>
    <col min="9000" max="9217" width="9" style="2"/>
    <col min="9218" max="9218" width="4.375" style="2" customWidth="1"/>
    <col min="9219" max="9219" width="21.375" style="2" customWidth="1"/>
    <col min="9220" max="9220" width="17.125" style="2" customWidth="1"/>
    <col min="9221" max="9250" width="3.75" style="2" customWidth="1"/>
    <col min="9251" max="9251" width="3.5" style="2" customWidth="1"/>
    <col min="9252" max="9253" width="4.75" style="2" customWidth="1"/>
    <col min="9254" max="9254" width="5.875" style="2" customWidth="1"/>
    <col min="9255" max="9255" width="12.875" style="2" customWidth="1"/>
    <col min="9256" max="9473" width="9" style="2"/>
    <col min="9474" max="9474" width="4.375" style="2" customWidth="1"/>
    <col min="9475" max="9475" width="21.375" style="2" customWidth="1"/>
    <col min="9476" max="9476" width="17.125" style="2" customWidth="1"/>
    <col min="9477" max="9506" width="3.75" style="2" customWidth="1"/>
    <col min="9507" max="9507" width="3.5" style="2" customWidth="1"/>
    <col min="9508" max="9509" width="4.75" style="2" customWidth="1"/>
    <col min="9510" max="9510" width="5.875" style="2" customWidth="1"/>
    <col min="9511" max="9511" width="12.875" style="2" customWidth="1"/>
    <col min="9512" max="9729" width="9" style="2"/>
    <col min="9730" max="9730" width="4.375" style="2" customWidth="1"/>
    <col min="9731" max="9731" width="21.375" style="2" customWidth="1"/>
    <col min="9732" max="9732" width="17.125" style="2" customWidth="1"/>
    <col min="9733" max="9762" width="3.75" style="2" customWidth="1"/>
    <col min="9763" max="9763" width="3.5" style="2" customWidth="1"/>
    <col min="9764" max="9765" width="4.75" style="2" customWidth="1"/>
    <col min="9766" max="9766" width="5.875" style="2" customWidth="1"/>
    <col min="9767" max="9767" width="12.875" style="2" customWidth="1"/>
    <col min="9768" max="9985" width="9" style="2"/>
    <col min="9986" max="9986" width="4.375" style="2" customWidth="1"/>
    <col min="9987" max="9987" width="21.375" style="2" customWidth="1"/>
    <col min="9988" max="9988" width="17.125" style="2" customWidth="1"/>
    <col min="9989" max="10018" width="3.75" style="2" customWidth="1"/>
    <col min="10019" max="10019" width="3.5" style="2" customWidth="1"/>
    <col min="10020" max="10021" width="4.75" style="2" customWidth="1"/>
    <col min="10022" max="10022" width="5.875" style="2" customWidth="1"/>
    <col min="10023" max="10023" width="12.875" style="2" customWidth="1"/>
    <col min="10024" max="10241" width="9" style="2"/>
    <col min="10242" max="10242" width="4.375" style="2" customWidth="1"/>
    <col min="10243" max="10243" width="21.375" style="2" customWidth="1"/>
    <col min="10244" max="10244" width="17.125" style="2" customWidth="1"/>
    <col min="10245" max="10274" width="3.75" style="2" customWidth="1"/>
    <col min="10275" max="10275" width="3.5" style="2" customWidth="1"/>
    <col min="10276" max="10277" width="4.75" style="2" customWidth="1"/>
    <col min="10278" max="10278" width="5.875" style="2" customWidth="1"/>
    <col min="10279" max="10279" width="12.875" style="2" customWidth="1"/>
    <col min="10280" max="10497" width="9" style="2"/>
    <col min="10498" max="10498" width="4.375" style="2" customWidth="1"/>
    <col min="10499" max="10499" width="21.375" style="2" customWidth="1"/>
    <col min="10500" max="10500" width="17.125" style="2" customWidth="1"/>
    <col min="10501" max="10530" width="3.75" style="2" customWidth="1"/>
    <col min="10531" max="10531" width="3.5" style="2" customWidth="1"/>
    <col min="10532" max="10533" width="4.75" style="2" customWidth="1"/>
    <col min="10534" max="10534" width="5.875" style="2" customWidth="1"/>
    <col min="10535" max="10535" width="12.875" style="2" customWidth="1"/>
    <col min="10536" max="10753" width="9" style="2"/>
    <col min="10754" max="10754" width="4.375" style="2" customWidth="1"/>
    <col min="10755" max="10755" width="21.375" style="2" customWidth="1"/>
    <col min="10756" max="10756" width="17.125" style="2" customWidth="1"/>
    <col min="10757" max="10786" width="3.75" style="2" customWidth="1"/>
    <col min="10787" max="10787" width="3.5" style="2" customWidth="1"/>
    <col min="10788" max="10789" width="4.75" style="2" customWidth="1"/>
    <col min="10790" max="10790" width="5.875" style="2" customWidth="1"/>
    <col min="10791" max="10791" width="12.875" style="2" customWidth="1"/>
    <col min="10792" max="11009" width="9" style="2"/>
    <col min="11010" max="11010" width="4.375" style="2" customWidth="1"/>
    <col min="11011" max="11011" width="21.375" style="2" customWidth="1"/>
    <col min="11012" max="11012" width="17.125" style="2" customWidth="1"/>
    <col min="11013" max="11042" width="3.75" style="2" customWidth="1"/>
    <col min="11043" max="11043" width="3.5" style="2" customWidth="1"/>
    <col min="11044" max="11045" width="4.75" style="2" customWidth="1"/>
    <col min="11046" max="11046" width="5.875" style="2" customWidth="1"/>
    <col min="11047" max="11047" width="12.875" style="2" customWidth="1"/>
    <col min="11048" max="11265" width="9" style="2"/>
    <col min="11266" max="11266" width="4.375" style="2" customWidth="1"/>
    <col min="11267" max="11267" width="21.375" style="2" customWidth="1"/>
    <col min="11268" max="11268" width="17.125" style="2" customWidth="1"/>
    <col min="11269" max="11298" width="3.75" style="2" customWidth="1"/>
    <col min="11299" max="11299" width="3.5" style="2" customWidth="1"/>
    <col min="11300" max="11301" width="4.75" style="2" customWidth="1"/>
    <col min="11302" max="11302" width="5.875" style="2" customWidth="1"/>
    <col min="11303" max="11303" width="12.875" style="2" customWidth="1"/>
    <col min="11304" max="11521" width="9" style="2"/>
    <col min="11522" max="11522" width="4.375" style="2" customWidth="1"/>
    <col min="11523" max="11523" width="21.375" style="2" customWidth="1"/>
    <col min="11524" max="11524" width="17.125" style="2" customWidth="1"/>
    <col min="11525" max="11554" width="3.75" style="2" customWidth="1"/>
    <col min="11555" max="11555" width="3.5" style="2" customWidth="1"/>
    <col min="11556" max="11557" width="4.75" style="2" customWidth="1"/>
    <col min="11558" max="11558" width="5.875" style="2" customWidth="1"/>
    <col min="11559" max="11559" width="12.875" style="2" customWidth="1"/>
    <col min="11560" max="11777" width="9" style="2"/>
    <col min="11778" max="11778" width="4.375" style="2" customWidth="1"/>
    <col min="11779" max="11779" width="21.375" style="2" customWidth="1"/>
    <col min="11780" max="11780" width="17.125" style="2" customWidth="1"/>
    <col min="11781" max="11810" width="3.75" style="2" customWidth="1"/>
    <col min="11811" max="11811" width="3.5" style="2" customWidth="1"/>
    <col min="11812" max="11813" width="4.75" style="2" customWidth="1"/>
    <col min="11814" max="11814" width="5.875" style="2" customWidth="1"/>
    <col min="11815" max="11815" width="12.875" style="2" customWidth="1"/>
    <col min="11816" max="12033" width="9" style="2"/>
    <col min="12034" max="12034" width="4.375" style="2" customWidth="1"/>
    <col min="12035" max="12035" width="21.375" style="2" customWidth="1"/>
    <col min="12036" max="12036" width="17.125" style="2" customWidth="1"/>
    <col min="12037" max="12066" width="3.75" style="2" customWidth="1"/>
    <col min="12067" max="12067" width="3.5" style="2" customWidth="1"/>
    <col min="12068" max="12069" width="4.75" style="2" customWidth="1"/>
    <col min="12070" max="12070" width="5.875" style="2" customWidth="1"/>
    <col min="12071" max="12071" width="12.875" style="2" customWidth="1"/>
    <col min="12072" max="12289" width="9" style="2"/>
    <col min="12290" max="12290" width="4.375" style="2" customWidth="1"/>
    <col min="12291" max="12291" width="21.375" style="2" customWidth="1"/>
    <col min="12292" max="12292" width="17.125" style="2" customWidth="1"/>
    <col min="12293" max="12322" width="3.75" style="2" customWidth="1"/>
    <col min="12323" max="12323" width="3.5" style="2" customWidth="1"/>
    <col min="12324" max="12325" width="4.75" style="2" customWidth="1"/>
    <col min="12326" max="12326" width="5.875" style="2" customWidth="1"/>
    <col min="12327" max="12327" width="12.875" style="2" customWidth="1"/>
    <col min="12328" max="12545" width="9" style="2"/>
    <col min="12546" max="12546" width="4.375" style="2" customWidth="1"/>
    <col min="12547" max="12547" width="21.375" style="2" customWidth="1"/>
    <col min="12548" max="12548" width="17.125" style="2" customWidth="1"/>
    <col min="12549" max="12578" width="3.75" style="2" customWidth="1"/>
    <col min="12579" max="12579" width="3.5" style="2" customWidth="1"/>
    <col min="12580" max="12581" width="4.75" style="2" customWidth="1"/>
    <col min="12582" max="12582" width="5.875" style="2" customWidth="1"/>
    <col min="12583" max="12583" width="12.875" style="2" customWidth="1"/>
    <col min="12584" max="12801" width="9" style="2"/>
    <col min="12802" max="12802" width="4.375" style="2" customWidth="1"/>
    <col min="12803" max="12803" width="21.375" style="2" customWidth="1"/>
    <col min="12804" max="12804" width="17.125" style="2" customWidth="1"/>
    <col min="12805" max="12834" width="3.75" style="2" customWidth="1"/>
    <col min="12835" max="12835" width="3.5" style="2" customWidth="1"/>
    <col min="12836" max="12837" width="4.75" style="2" customWidth="1"/>
    <col min="12838" max="12838" width="5.875" style="2" customWidth="1"/>
    <col min="12839" max="12839" width="12.875" style="2" customWidth="1"/>
    <col min="12840" max="13057" width="9" style="2"/>
    <col min="13058" max="13058" width="4.375" style="2" customWidth="1"/>
    <col min="13059" max="13059" width="21.375" style="2" customWidth="1"/>
    <col min="13060" max="13060" width="17.125" style="2" customWidth="1"/>
    <col min="13061" max="13090" width="3.75" style="2" customWidth="1"/>
    <col min="13091" max="13091" width="3.5" style="2" customWidth="1"/>
    <col min="13092" max="13093" width="4.75" style="2" customWidth="1"/>
    <col min="13094" max="13094" width="5.875" style="2" customWidth="1"/>
    <col min="13095" max="13095" width="12.875" style="2" customWidth="1"/>
    <col min="13096" max="13313" width="9" style="2"/>
    <col min="13314" max="13314" width="4.375" style="2" customWidth="1"/>
    <col min="13315" max="13315" width="21.375" style="2" customWidth="1"/>
    <col min="13316" max="13316" width="17.125" style="2" customWidth="1"/>
    <col min="13317" max="13346" width="3.75" style="2" customWidth="1"/>
    <col min="13347" max="13347" width="3.5" style="2" customWidth="1"/>
    <col min="13348" max="13349" width="4.75" style="2" customWidth="1"/>
    <col min="13350" max="13350" width="5.875" style="2" customWidth="1"/>
    <col min="13351" max="13351" width="12.875" style="2" customWidth="1"/>
    <col min="13352" max="13569" width="9" style="2"/>
    <col min="13570" max="13570" width="4.375" style="2" customWidth="1"/>
    <col min="13571" max="13571" width="21.375" style="2" customWidth="1"/>
    <col min="13572" max="13572" width="17.125" style="2" customWidth="1"/>
    <col min="13573" max="13602" width="3.75" style="2" customWidth="1"/>
    <col min="13603" max="13603" width="3.5" style="2" customWidth="1"/>
    <col min="13604" max="13605" width="4.75" style="2" customWidth="1"/>
    <col min="13606" max="13606" width="5.875" style="2" customWidth="1"/>
    <col min="13607" max="13607" width="12.875" style="2" customWidth="1"/>
    <col min="13608" max="13825" width="9" style="2"/>
    <col min="13826" max="13826" width="4.375" style="2" customWidth="1"/>
    <col min="13827" max="13827" width="21.375" style="2" customWidth="1"/>
    <col min="13828" max="13828" width="17.125" style="2" customWidth="1"/>
    <col min="13829" max="13858" width="3.75" style="2" customWidth="1"/>
    <col min="13859" max="13859" width="3.5" style="2" customWidth="1"/>
    <col min="13860" max="13861" width="4.75" style="2" customWidth="1"/>
    <col min="13862" max="13862" width="5.875" style="2" customWidth="1"/>
    <col min="13863" max="13863" width="12.875" style="2" customWidth="1"/>
    <col min="13864" max="14081" width="9" style="2"/>
    <col min="14082" max="14082" width="4.375" style="2" customWidth="1"/>
    <col min="14083" max="14083" width="21.375" style="2" customWidth="1"/>
    <col min="14084" max="14084" width="17.125" style="2" customWidth="1"/>
    <col min="14085" max="14114" width="3.75" style="2" customWidth="1"/>
    <col min="14115" max="14115" width="3.5" style="2" customWidth="1"/>
    <col min="14116" max="14117" width="4.75" style="2" customWidth="1"/>
    <col min="14118" max="14118" width="5.875" style="2" customWidth="1"/>
    <col min="14119" max="14119" width="12.875" style="2" customWidth="1"/>
    <col min="14120" max="14337" width="9" style="2"/>
    <col min="14338" max="14338" width="4.375" style="2" customWidth="1"/>
    <col min="14339" max="14339" width="21.375" style="2" customWidth="1"/>
    <col min="14340" max="14340" width="17.125" style="2" customWidth="1"/>
    <col min="14341" max="14370" width="3.75" style="2" customWidth="1"/>
    <col min="14371" max="14371" width="3.5" style="2" customWidth="1"/>
    <col min="14372" max="14373" width="4.75" style="2" customWidth="1"/>
    <col min="14374" max="14374" width="5.875" style="2" customWidth="1"/>
    <col min="14375" max="14375" width="12.875" style="2" customWidth="1"/>
    <col min="14376" max="14593" width="9" style="2"/>
    <col min="14594" max="14594" width="4.375" style="2" customWidth="1"/>
    <col min="14595" max="14595" width="21.375" style="2" customWidth="1"/>
    <col min="14596" max="14596" width="17.125" style="2" customWidth="1"/>
    <col min="14597" max="14626" width="3.75" style="2" customWidth="1"/>
    <col min="14627" max="14627" width="3.5" style="2" customWidth="1"/>
    <col min="14628" max="14629" width="4.75" style="2" customWidth="1"/>
    <col min="14630" max="14630" width="5.875" style="2" customWidth="1"/>
    <col min="14631" max="14631" width="12.875" style="2" customWidth="1"/>
    <col min="14632" max="14849" width="9" style="2"/>
    <col min="14850" max="14850" width="4.375" style="2" customWidth="1"/>
    <col min="14851" max="14851" width="21.375" style="2" customWidth="1"/>
    <col min="14852" max="14852" width="17.125" style="2" customWidth="1"/>
    <col min="14853" max="14882" width="3.75" style="2" customWidth="1"/>
    <col min="14883" max="14883" width="3.5" style="2" customWidth="1"/>
    <col min="14884" max="14885" width="4.75" style="2" customWidth="1"/>
    <col min="14886" max="14886" width="5.875" style="2" customWidth="1"/>
    <col min="14887" max="14887" width="12.875" style="2" customWidth="1"/>
    <col min="14888" max="15105" width="9" style="2"/>
    <col min="15106" max="15106" width="4.375" style="2" customWidth="1"/>
    <col min="15107" max="15107" width="21.375" style="2" customWidth="1"/>
    <col min="15108" max="15108" width="17.125" style="2" customWidth="1"/>
    <col min="15109" max="15138" width="3.75" style="2" customWidth="1"/>
    <col min="15139" max="15139" width="3.5" style="2" customWidth="1"/>
    <col min="15140" max="15141" width="4.75" style="2" customWidth="1"/>
    <col min="15142" max="15142" width="5.875" style="2" customWidth="1"/>
    <col min="15143" max="15143" width="12.875" style="2" customWidth="1"/>
    <col min="15144" max="15361" width="9" style="2"/>
    <col min="15362" max="15362" width="4.375" style="2" customWidth="1"/>
    <col min="15363" max="15363" width="21.375" style="2" customWidth="1"/>
    <col min="15364" max="15364" width="17.125" style="2" customWidth="1"/>
    <col min="15365" max="15394" width="3.75" style="2" customWidth="1"/>
    <col min="15395" max="15395" width="3.5" style="2" customWidth="1"/>
    <col min="15396" max="15397" width="4.75" style="2" customWidth="1"/>
    <col min="15398" max="15398" width="5.875" style="2" customWidth="1"/>
    <col min="15399" max="15399" width="12.875" style="2" customWidth="1"/>
    <col min="15400" max="15617" width="9" style="2"/>
    <col min="15618" max="15618" width="4.375" style="2" customWidth="1"/>
    <col min="15619" max="15619" width="21.375" style="2" customWidth="1"/>
    <col min="15620" max="15620" width="17.125" style="2" customWidth="1"/>
    <col min="15621" max="15650" width="3.75" style="2" customWidth="1"/>
    <col min="15651" max="15651" width="3.5" style="2" customWidth="1"/>
    <col min="15652" max="15653" width="4.75" style="2" customWidth="1"/>
    <col min="15654" max="15654" width="5.875" style="2" customWidth="1"/>
    <col min="15655" max="15655" width="12.875" style="2" customWidth="1"/>
    <col min="15656" max="15873" width="9" style="2"/>
    <col min="15874" max="15874" width="4.375" style="2" customWidth="1"/>
    <col min="15875" max="15875" width="21.375" style="2" customWidth="1"/>
    <col min="15876" max="15876" width="17.125" style="2" customWidth="1"/>
    <col min="15877" max="15906" width="3.75" style="2" customWidth="1"/>
    <col min="15907" max="15907" width="3.5" style="2" customWidth="1"/>
    <col min="15908" max="15909" width="4.75" style="2" customWidth="1"/>
    <col min="15910" max="15910" width="5.875" style="2" customWidth="1"/>
    <col min="15911" max="15911" width="12.875" style="2" customWidth="1"/>
    <col min="15912" max="16129" width="9" style="2"/>
    <col min="16130" max="16130" width="4.375" style="2" customWidth="1"/>
    <col min="16131" max="16131" width="21.375" style="2" customWidth="1"/>
    <col min="16132" max="16132" width="17.125" style="2" customWidth="1"/>
    <col min="16133" max="16162" width="3.75" style="2" customWidth="1"/>
    <col min="16163" max="16163" width="3.5" style="2" customWidth="1"/>
    <col min="16164" max="16165" width="4.75" style="2" customWidth="1"/>
    <col min="16166" max="16166" width="5.875" style="2" customWidth="1"/>
    <col min="16167" max="16167" width="12.875" style="2" customWidth="1"/>
    <col min="16168" max="16384" width="9" style="2"/>
  </cols>
  <sheetData>
    <row r="1" spans="1:37" ht="21" x14ac:dyDescent="0.35">
      <c r="A1" s="221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</row>
    <row r="2" spans="1:37" ht="21" x14ac:dyDescent="0.35">
      <c r="A2" s="221" t="s">
        <v>112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</row>
    <row r="3" spans="1:37" ht="14.25" customHeight="1" x14ac:dyDescent="0.3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5"/>
    </row>
    <row r="4" spans="1:37" ht="21" x14ac:dyDescent="0.25">
      <c r="A4" s="222" t="s">
        <v>62</v>
      </c>
      <c r="B4" s="236" t="s">
        <v>1</v>
      </c>
      <c r="C4" s="237"/>
      <c r="D4" s="225" t="s">
        <v>2</v>
      </c>
      <c r="E4" s="228" t="s">
        <v>3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30" t="s">
        <v>4</v>
      </c>
      <c r="AK4" s="231"/>
    </row>
    <row r="5" spans="1:37" ht="21" x14ac:dyDescent="0.25">
      <c r="A5" s="223"/>
      <c r="B5" s="238"/>
      <c r="C5" s="239"/>
      <c r="D5" s="226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7">
        <v>6</v>
      </c>
      <c r="K5" s="7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7">
        <v>13</v>
      </c>
      <c r="R5" s="7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7">
        <v>20</v>
      </c>
      <c r="Y5" s="7">
        <v>21</v>
      </c>
      <c r="Z5" s="7">
        <v>22</v>
      </c>
      <c r="AA5" s="34">
        <v>23</v>
      </c>
      <c r="AB5" s="34">
        <v>24</v>
      </c>
      <c r="AC5" s="34">
        <v>25</v>
      </c>
      <c r="AD5" s="34">
        <v>26</v>
      </c>
      <c r="AE5" s="7">
        <v>27</v>
      </c>
      <c r="AF5" s="7">
        <v>28</v>
      </c>
      <c r="AG5" s="7">
        <v>29</v>
      </c>
      <c r="AH5" s="34">
        <v>30</v>
      </c>
      <c r="AI5" s="34">
        <v>31</v>
      </c>
      <c r="AJ5" s="232"/>
      <c r="AK5" s="233"/>
    </row>
    <row r="6" spans="1:37" ht="21" x14ac:dyDescent="0.25">
      <c r="A6" s="224"/>
      <c r="B6" s="240"/>
      <c r="C6" s="241"/>
      <c r="D6" s="227"/>
      <c r="E6" s="34" t="s">
        <v>5</v>
      </c>
      <c r="F6" s="34" t="s">
        <v>6</v>
      </c>
      <c r="G6" s="34" t="s">
        <v>7</v>
      </c>
      <c r="H6" s="34" t="s">
        <v>8</v>
      </c>
      <c r="I6" s="34" t="s">
        <v>9</v>
      </c>
      <c r="J6" s="7" t="s">
        <v>10</v>
      </c>
      <c r="K6" s="7" t="s">
        <v>11</v>
      </c>
      <c r="L6" s="34" t="s">
        <v>5</v>
      </c>
      <c r="M6" s="34" t="s">
        <v>6</v>
      </c>
      <c r="N6" s="34" t="s">
        <v>7</v>
      </c>
      <c r="O6" s="34" t="s">
        <v>8</v>
      </c>
      <c r="P6" s="34" t="s">
        <v>9</v>
      </c>
      <c r="Q6" s="7" t="s">
        <v>10</v>
      </c>
      <c r="R6" s="7" t="s">
        <v>11</v>
      </c>
      <c r="S6" s="34" t="s">
        <v>5</v>
      </c>
      <c r="T6" s="34" t="s">
        <v>6</v>
      </c>
      <c r="U6" s="34" t="s">
        <v>7</v>
      </c>
      <c r="V6" s="34" t="s">
        <v>8</v>
      </c>
      <c r="W6" s="34" t="s">
        <v>9</v>
      </c>
      <c r="X6" s="7" t="s">
        <v>10</v>
      </c>
      <c r="Y6" s="7" t="s">
        <v>11</v>
      </c>
      <c r="Z6" s="7" t="s">
        <v>5</v>
      </c>
      <c r="AA6" s="34" t="s">
        <v>6</v>
      </c>
      <c r="AB6" s="34" t="s">
        <v>7</v>
      </c>
      <c r="AC6" s="34" t="s">
        <v>8</v>
      </c>
      <c r="AD6" s="34" t="s">
        <v>9</v>
      </c>
      <c r="AE6" s="7" t="s">
        <v>10</v>
      </c>
      <c r="AF6" s="7" t="s">
        <v>11</v>
      </c>
      <c r="AG6" s="7" t="s">
        <v>5</v>
      </c>
      <c r="AH6" s="34" t="s">
        <v>6</v>
      </c>
      <c r="AI6" s="34" t="s">
        <v>12</v>
      </c>
      <c r="AJ6" s="234"/>
      <c r="AK6" s="235"/>
    </row>
    <row r="7" spans="1:37" ht="15.75" customHeight="1" x14ac:dyDescent="0.25">
      <c r="A7" s="242">
        <v>1</v>
      </c>
      <c r="B7" s="244" t="s">
        <v>25</v>
      </c>
      <c r="C7" s="249" t="s">
        <v>26</v>
      </c>
      <c r="D7" s="246" t="s">
        <v>107</v>
      </c>
      <c r="E7" s="124"/>
      <c r="F7" s="124"/>
      <c r="G7" s="124" t="s">
        <v>15</v>
      </c>
      <c r="H7" s="124"/>
      <c r="I7" s="124"/>
      <c r="J7" s="121" t="s">
        <v>15</v>
      </c>
      <c r="K7" s="121" t="s">
        <v>93</v>
      </c>
      <c r="L7" s="124"/>
      <c r="M7" s="124"/>
      <c r="N7" s="124"/>
      <c r="O7" s="124"/>
      <c r="P7" s="124"/>
      <c r="Q7" s="121" t="s">
        <v>93</v>
      </c>
      <c r="R7" s="121" t="s">
        <v>15</v>
      </c>
      <c r="S7" s="124"/>
      <c r="T7" s="124"/>
      <c r="U7" s="124" t="s">
        <v>89</v>
      </c>
      <c r="V7" s="124"/>
      <c r="W7" s="124"/>
      <c r="X7" s="121"/>
      <c r="Y7" s="121" t="s">
        <v>15</v>
      </c>
      <c r="Z7" s="121" t="s">
        <v>93</v>
      </c>
      <c r="AA7" s="124"/>
      <c r="AB7" s="124"/>
      <c r="AC7" s="124"/>
      <c r="AD7" s="124" t="s">
        <v>89</v>
      </c>
      <c r="AE7" s="121" t="s">
        <v>93</v>
      </c>
      <c r="AF7" s="121" t="s">
        <v>93</v>
      </c>
      <c r="AG7" s="121"/>
      <c r="AH7" s="124"/>
      <c r="AI7" s="124"/>
      <c r="AJ7" s="230"/>
      <c r="AK7" s="231"/>
    </row>
    <row r="8" spans="1:37" ht="15.75" customHeight="1" x14ac:dyDescent="0.25">
      <c r="A8" s="243"/>
      <c r="B8" s="245"/>
      <c r="C8" s="250"/>
      <c r="D8" s="247"/>
      <c r="E8" s="122" t="s">
        <v>35</v>
      </c>
      <c r="F8" s="122" t="s">
        <v>35</v>
      </c>
      <c r="G8" s="122" t="s">
        <v>36</v>
      </c>
      <c r="H8" s="122" t="s">
        <v>36</v>
      </c>
      <c r="I8" s="122" t="s">
        <v>16</v>
      </c>
      <c r="J8" s="123" t="s">
        <v>17</v>
      </c>
      <c r="K8" s="123" t="s">
        <v>17</v>
      </c>
      <c r="L8" s="122" t="s">
        <v>16</v>
      </c>
      <c r="M8" s="122" t="s">
        <v>16</v>
      </c>
      <c r="N8" s="122" t="s">
        <v>16</v>
      </c>
      <c r="O8" s="122" t="s">
        <v>16</v>
      </c>
      <c r="P8" s="122" t="s">
        <v>16</v>
      </c>
      <c r="Q8" s="123" t="s">
        <v>17</v>
      </c>
      <c r="R8" s="123" t="s">
        <v>17</v>
      </c>
      <c r="S8" s="122" t="s">
        <v>16</v>
      </c>
      <c r="T8" s="122" t="s">
        <v>16</v>
      </c>
      <c r="U8" s="122" t="s">
        <v>16</v>
      </c>
      <c r="V8" s="122" t="s">
        <v>16</v>
      </c>
      <c r="W8" s="122" t="s">
        <v>16</v>
      </c>
      <c r="X8" s="123" t="s">
        <v>17</v>
      </c>
      <c r="Y8" s="123" t="s">
        <v>17</v>
      </c>
      <c r="Z8" s="123" t="s">
        <v>17</v>
      </c>
      <c r="AA8" s="122" t="s">
        <v>16</v>
      </c>
      <c r="AB8" s="122" t="s">
        <v>16</v>
      </c>
      <c r="AC8" s="122" t="s">
        <v>16</v>
      </c>
      <c r="AD8" s="122" t="s">
        <v>16</v>
      </c>
      <c r="AE8" s="123" t="s">
        <v>17</v>
      </c>
      <c r="AF8" s="123" t="s">
        <v>17</v>
      </c>
      <c r="AG8" s="123" t="s">
        <v>17</v>
      </c>
      <c r="AH8" s="122" t="s">
        <v>16</v>
      </c>
      <c r="AI8" s="122" t="s">
        <v>16</v>
      </c>
      <c r="AJ8" s="234"/>
      <c r="AK8" s="235"/>
    </row>
    <row r="9" spans="1:37" ht="15.75" customHeight="1" x14ac:dyDescent="0.25">
      <c r="A9" s="242">
        <v>2</v>
      </c>
      <c r="B9" s="244" t="s">
        <v>27</v>
      </c>
      <c r="C9" s="249" t="s">
        <v>28</v>
      </c>
      <c r="D9" s="246" t="s">
        <v>108</v>
      </c>
      <c r="E9" s="124"/>
      <c r="F9" s="124"/>
      <c r="G9" s="124"/>
      <c r="H9" s="124" t="s">
        <v>89</v>
      </c>
      <c r="I9" s="124"/>
      <c r="J9" s="121" t="s">
        <v>93</v>
      </c>
      <c r="K9" s="121" t="s">
        <v>15</v>
      </c>
      <c r="L9" s="124"/>
      <c r="M9" s="124"/>
      <c r="N9" s="124" t="s">
        <v>89</v>
      </c>
      <c r="O9" s="124"/>
      <c r="P9" s="124"/>
      <c r="Q9" s="121" t="s">
        <v>15</v>
      </c>
      <c r="R9" s="121" t="s">
        <v>93</v>
      </c>
      <c r="S9" s="124"/>
      <c r="T9" s="124"/>
      <c r="U9" s="124"/>
      <c r="V9" s="124"/>
      <c r="W9" s="124"/>
      <c r="X9" s="121" t="s">
        <v>93</v>
      </c>
      <c r="Y9" s="121"/>
      <c r="Z9" s="121" t="s">
        <v>15</v>
      </c>
      <c r="AA9" s="124"/>
      <c r="AB9" s="124" t="s">
        <v>89</v>
      </c>
      <c r="AC9" s="124"/>
      <c r="AD9" s="124"/>
      <c r="AE9" s="121"/>
      <c r="AF9" s="121" t="s">
        <v>15</v>
      </c>
      <c r="AG9" s="121" t="s">
        <v>93</v>
      </c>
      <c r="AH9" s="124"/>
      <c r="AI9" s="124"/>
      <c r="AJ9" s="230"/>
      <c r="AK9" s="231"/>
    </row>
    <row r="10" spans="1:37" ht="15.75" customHeight="1" x14ac:dyDescent="0.25">
      <c r="A10" s="243"/>
      <c r="B10" s="245"/>
      <c r="C10" s="250"/>
      <c r="D10" s="247"/>
      <c r="E10" s="122" t="s">
        <v>16</v>
      </c>
      <c r="F10" s="122" t="s">
        <v>16</v>
      </c>
      <c r="G10" s="122" t="s">
        <v>16</v>
      </c>
      <c r="H10" s="122" t="s">
        <v>16</v>
      </c>
      <c r="I10" s="122" t="s">
        <v>16</v>
      </c>
      <c r="J10" s="123" t="s">
        <v>17</v>
      </c>
      <c r="K10" s="123" t="s">
        <v>17</v>
      </c>
      <c r="L10" s="122" t="s">
        <v>16</v>
      </c>
      <c r="M10" s="122" t="s">
        <v>16</v>
      </c>
      <c r="N10" s="122" t="s">
        <v>16</v>
      </c>
      <c r="O10" s="122" t="s">
        <v>16</v>
      </c>
      <c r="P10" s="122" t="s">
        <v>16</v>
      </c>
      <c r="Q10" s="123" t="s">
        <v>17</v>
      </c>
      <c r="R10" s="123" t="s">
        <v>17</v>
      </c>
      <c r="S10" s="122" t="s">
        <v>16</v>
      </c>
      <c r="T10" s="122" t="s">
        <v>16</v>
      </c>
      <c r="U10" s="122" t="s">
        <v>16</v>
      </c>
      <c r="V10" s="122" t="s">
        <v>16</v>
      </c>
      <c r="W10" s="122" t="s">
        <v>16</v>
      </c>
      <c r="X10" s="123" t="s">
        <v>17</v>
      </c>
      <c r="Y10" s="123" t="s">
        <v>17</v>
      </c>
      <c r="Z10" s="123" t="s">
        <v>17</v>
      </c>
      <c r="AA10" s="122" t="s">
        <v>16</v>
      </c>
      <c r="AB10" s="122" t="s">
        <v>16</v>
      </c>
      <c r="AC10" s="122" t="s">
        <v>16</v>
      </c>
      <c r="AD10" s="122" t="s">
        <v>16</v>
      </c>
      <c r="AE10" s="123" t="s">
        <v>17</v>
      </c>
      <c r="AF10" s="123" t="s">
        <v>17</v>
      </c>
      <c r="AG10" s="123" t="s">
        <v>17</v>
      </c>
      <c r="AH10" s="122" t="s">
        <v>16</v>
      </c>
      <c r="AI10" s="122" t="s">
        <v>16</v>
      </c>
      <c r="AJ10" s="234"/>
      <c r="AK10" s="235"/>
    </row>
    <row r="11" spans="1:37" ht="21" x14ac:dyDescent="0.35">
      <c r="A11" s="11"/>
      <c r="B11" s="12"/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22"/>
    </row>
    <row r="12" spans="1:37" ht="21" x14ac:dyDescent="0.35">
      <c r="A12" s="13"/>
      <c r="B12" s="27" t="s">
        <v>4</v>
      </c>
      <c r="C12" s="14"/>
      <c r="D12" s="13"/>
      <c r="E12" s="15"/>
      <c r="F12" s="13"/>
      <c r="G12" s="13"/>
      <c r="H12" s="248" t="s">
        <v>18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13"/>
      <c r="V12" s="13"/>
      <c r="W12" s="13"/>
      <c r="X12" s="13"/>
      <c r="Y12" s="248" t="s">
        <v>19</v>
      </c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2"/>
    </row>
    <row r="13" spans="1:37" ht="21" x14ac:dyDescent="0.35">
      <c r="A13" s="308" t="s">
        <v>35</v>
      </c>
      <c r="B13" s="309" t="s">
        <v>121</v>
      </c>
      <c r="C13" s="17"/>
      <c r="D13" s="15"/>
      <c r="E13" s="15"/>
      <c r="F13" s="13"/>
      <c r="G13" s="13"/>
      <c r="H13" s="253" t="s">
        <v>20</v>
      </c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13"/>
      <c r="U13" s="13"/>
      <c r="V13" s="13"/>
      <c r="W13" s="13"/>
      <c r="X13" s="13"/>
      <c r="Y13" s="248" t="s">
        <v>21</v>
      </c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13"/>
    </row>
    <row r="14" spans="1:37" ht="21" x14ac:dyDescent="0.35">
      <c r="A14" s="308" t="s">
        <v>16</v>
      </c>
      <c r="B14" s="309" t="s">
        <v>122</v>
      </c>
      <c r="C14" s="17"/>
      <c r="D14" s="15"/>
      <c r="E14" s="15"/>
      <c r="F14" s="18"/>
      <c r="G14" s="18"/>
      <c r="H14" s="252" t="s">
        <v>22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18"/>
      <c r="U14" s="15"/>
      <c r="V14" s="15"/>
      <c r="W14" s="15"/>
      <c r="X14" s="15"/>
      <c r="Y14" s="251" t="s">
        <v>23</v>
      </c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13"/>
    </row>
    <row r="15" spans="1:37" ht="21" x14ac:dyDescent="0.35">
      <c r="A15" s="308" t="s">
        <v>36</v>
      </c>
      <c r="B15" s="309" t="s">
        <v>123</v>
      </c>
      <c r="C15" s="17"/>
      <c r="D15" s="15"/>
      <c r="H15" s="252" t="s">
        <v>24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U15" s="15"/>
      <c r="V15" s="15"/>
      <c r="W15" s="15"/>
      <c r="X15" s="15"/>
      <c r="Y15" s="251" t="s">
        <v>111</v>
      </c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</row>
    <row r="16" spans="1:37" ht="21" x14ac:dyDescent="0.3"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8" spans="5:37" ht="21" x14ac:dyDescent="0.35"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25"/>
    </row>
  </sheetData>
  <mergeCells count="25">
    <mergeCell ref="H15:S15"/>
    <mergeCell ref="H12:T12"/>
    <mergeCell ref="Y12:AJ12"/>
    <mergeCell ref="H13:S13"/>
    <mergeCell ref="Y13:AJ13"/>
    <mergeCell ref="H14:S14"/>
    <mergeCell ref="Y14:AJ14"/>
    <mergeCell ref="Y15:AJ15"/>
    <mergeCell ref="A7:A8"/>
    <mergeCell ref="B7:B8"/>
    <mergeCell ref="C7:C8"/>
    <mergeCell ref="D7:D8"/>
    <mergeCell ref="AJ7:AK8"/>
    <mergeCell ref="A9:A10"/>
    <mergeCell ref="B9:B10"/>
    <mergeCell ref="C9:C10"/>
    <mergeCell ref="D9:D10"/>
    <mergeCell ref="AJ9:AK10"/>
    <mergeCell ref="A1:AK1"/>
    <mergeCell ref="A2:AK2"/>
    <mergeCell ref="A4:A6"/>
    <mergeCell ref="B4:C6"/>
    <mergeCell ref="D4:D6"/>
    <mergeCell ref="E4:AI4"/>
    <mergeCell ref="AJ4:AK6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5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B8AC-9D59-4AF6-83CC-6F1EFD006ECC}">
  <sheetPr>
    <tabColor theme="4" tint="0.59999389629810485"/>
    <pageSetUpPr fitToPage="1"/>
  </sheetPr>
  <dimension ref="A1:AZ21"/>
  <sheetViews>
    <sheetView showGridLines="0" workbookViewId="0">
      <selection activeCell="AE24" sqref="AE24"/>
    </sheetView>
  </sheetViews>
  <sheetFormatPr defaultRowHeight="21" x14ac:dyDescent="0.45"/>
  <cols>
    <col min="1" max="1" width="5" style="30" customWidth="1"/>
    <col min="2" max="2" width="12.625" style="30" customWidth="1"/>
    <col min="3" max="3" width="12" style="30" customWidth="1"/>
    <col min="4" max="4" width="16.875" style="116" customWidth="1"/>
    <col min="5" max="5" width="5.125" style="30" customWidth="1"/>
    <col min="6" max="36" width="2.875" style="30" customWidth="1"/>
    <col min="37" max="37" width="6.25" style="117" customWidth="1"/>
    <col min="38" max="38" width="4.125" style="117" hidden="1" customWidth="1"/>
    <col min="39" max="39" width="9.875" style="118" customWidth="1"/>
    <col min="40" max="40" width="9" style="30"/>
    <col min="41" max="41" width="13.75" style="30" customWidth="1"/>
    <col min="42" max="42" width="8.75" style="30" customWidth="1"/>
    <col min="43" max="45" width="4.5" style="30" customWidth="1"/>
    <col min="46" max="46" width="4" style="30" customWidth="1"/>
    <col min="47" max="47" width="3.75" style="30" customWidth="1"/>
    <col min="48" max="48" width="4.125" style="30" customWidth="1"/>
    <col min="49" max="49" width="3.75" style="30" customWidth="1"/>
    <col min="50" max="50" width="4.25" style="30" customWidth="1"/>
    <col min="51" max="51" width="4" style="30" customWidth="1"/>
    <col min="52" max="52" width="4.75" style="30" customWidth="1"/>
    <col min="53" max="255" width="9" style="30"/>
    <col min="256" max="256" width="5" style="30" customWidth="1"/>
    <col min="257" max="257" width="12.625" style="30" customWidth="1"/>
    <col min="258" max="258" width="12" style="30" customWidth="1"/>
    <col min="259" max="259" width="16.875" style="30" customWidth="1"/>
    <col min="260" max="261" width="4.125" style="30" customWidth="1"/>
    <col min="262" max="292" width="2.875" style="30" customWidth="1"/>
    <col min="293" max="294" width="4.125" style="30" customWidth="1"/>
    <col min="295" max="295" width="9.875" style="30" customWidth="1"/>
    <col min="296" max="296" width="9" style="30"/>
    <col min="297" max="297" width="13.75" style="30" customWidth="1"/>
    <col min="298" max="298" width="8.75" style="30" customWidth="1"/>
    <col min="299" max="301" width="4.5" style="30" customWidth="1"/>
    <col min="302" max="302" width="4" style="30" customWidth="1"/>
    <col min="303" max="303" width="3.75" style="30" customWidth="1"/>
    <col min="304" max="304" width="4.125" style="30" customWidth="1"/>
    <col min="305" max="305" width="3.75" style="30" customWidth="1"/>
    <col min="306" max="306" width="4.25" style="30" customWidth="1"/>
    <col min="307" max="307" width="4" style="30" customWidth="1"/>
    <col min="308" max="308" width="4.75" style="30" customWidth="1"/>
    <col min="309" max="511" width="9" style="30"/>
    <col min="512" max="512" width="5" style="30" customWidth="1"/>
    <col min="513" max="513" width="12.625" style="30" customWidth="1"/>
    <col min="514" max="514" width="12" style="30" customWidth="1"/>
    <col min="515" max="515" width="16.875" style="30" customWidth="1"/>
    <col min="516" max="517" width="4.125" style="30" customWidth="1"/>
    <col min="518" max="548" width="2.875" style="30" customWidth="1"/>
    <col min="549" max="550" width="4.125" style="30" customWidth="1"/>
    <col min="551" max="551" width="9.875" style="30" customWidth="1"/>
    <col min="552" max="552" width="9" style="30"/>
    <col min="553" max="553" width="13.75" style="30" customWidth="1"/>
    <col min="554" max="554" width="8.75" style="30" customWidth="1"/>
    <col min="555" max="557" width="4.5" style="30" customWidth="1"/>
    <col min="558" max="558" width="4" style="30" customWidth="1"/>
    <col min="559" max="559" width="3.75" style="30" customWidth="1"/>
    <col min="560" max="560" width="4.125" style="30" customWidth="1"/>
    <col min="561" max="561" width="3.75" style="30" customWidth="1"/>
    <col min="562" max="562" width="4.25" style="30" customWidth="1"/>
    <col min="563" max="563" width="4" style="30" customWidth="1"/>
    <col min="564" max="564" width="4.75" style="30" customWidth="1"/>
    <col min="565" max="767" width="9" style="30"/>
    <col min="768" max="768" width="5" style="30" customWidth="1"/>
    <col min="769" max="769" width="12.625" style="30" customWidth="1"/>
    <col min="770" max="770" width="12" style="30" customWidth="1"/>
    <col min="771" max="771" width="16.875" style="30" customWidth="1"/>
    <col min="772" max="773" width="4.125" style="30" customWidth="1"/>
    <col min="774" max="804" width="2.875" style="30" customWidth="1"/>
    <col min="805" max="806" width="4.125" style="30" customWidth="1"/>
    <col min="807" max="807" width="9.875" style="30" customWidth="1"/>
    <col min="808" max="808" width="9" style="30"/>
    <col min="809" max="809" width="13.75" style="30" customWidth="1"/>
    <col min="810" max="810" width="8.75" style="30" customWidth="1"/>
    <col min="811" max="813" width="4.5" style="30" customWidth="1"/>
    <col min="814" max="814" width="4" style="30" customWidth="1"/>
    <col min="815" max="815" width="3.75" style="30" customWidth="1"/>
    <col min="816" max="816" width="4.125" style="30" customWidth="1"/>
    <col min="817" max="817" width="3.75" style="30" customWidth="1"/>
    <col min="818" max="818" width="4.25" style="30" customWidth="1"/>
    <col min="819" max="819" width="4" style="30" customWidth="1"/>
    <col min="820" max="820" width="4.75" style="30" customWidth="1"/>
    <col min="821" max="1023" width="9" style="30"/>
    <col min="1024" max="1024" width="5" style="30" customWidth="1"/>
    <col min="1025" max="1025" width="12.625" style="30" customWidth="1"/>
    <col min="1026" max="1026" width="12" style="30" customWidth="1"/>
    <col min="1027" max="1027" width="16.875" style="30" customWidth="1"/>
    <col min="1028" max="1029" width="4.125" style="30" customWidth="1"/>
    <col min="1030" max="1060" width="2.875" style="30" customWidth="1"/>
    <col min="1061" max="1062" width="4.125" style="30" customWidth="1"/>
    <col min="1063" max="1063" width="9.875" style="30" customWidth="1"/>
    <col min="1064" max="1064" width="9" style="30"/>
    <col min="1065" max="1065" width="13.75" style="30" customWidth="1"/>
    <col min="1066" max="1066" width="8.75" style="30" customWidth="1"/>
    <col min="1067" max="1069" width="4.5" style="30" customWidth="1"/>
    <col min="1070" max="1070" width="4" style="30" customWidth="1"/>
    <col min="1071" max="1071" width="3.75" style="30" customWidth="1"/>
    <col min="1072" max="1072" width="4.125" style="30" customWidth="1"/>
    <col min="1073" max="1073" width="3.75" style="30" customWidth="1"/>
    <col min="1074" max="1074" width="4.25" style="30" customWidth="1"/>
    <col min="1075" max="1075" width="4" style="30" customWidth="1"/>
    <col min="1076" max="1076" width="4.75" style="30" customWidth="1"/>
    <col min="1077" max="1279" width="9" style="30"/>
    <col min="1280" max="1280" width="5" style="30" customWidth="1"/>
    <col min="1281" max="1281" width="12.625" style="30" customWidth="1"/>
    <col min="1282" max="1282" width="12" style="30" customWidth="1"/>
    <col min="1283" max="1283" width="16.875" style="30" customWidth="1"/>
    <col min="1284" max="1285" width="4.125" style="30" customWidth="1"/>
    <col min="1286" max="1316" width="2.875" style="30" customWidth="1"/>
    <col min="1317" max="1318" width="4.125" style="30" customWidth="1"/>
    <col min="1319" max="1319" width="9.875" style="30" customWidth="1"/>
    <col min="1320" max="1320" width="9" style="30"/>
    <col min="1321" max="1321" width="13.75" style="30" customWidth="1"/>
    <col min="1322" max="1322" width="8.75" style="30" customWidth="1"/>
    <col min="1323" max="1325" width="4.5" style="30" customWidth="1"/>
    <col min="1326" max="1326" width="4" style="30" customWidth="1"/>
    <col min="1327" max="1327" width="3.75" style="30" customWidth="1"/>
    <col min="1328" max="1328" width="4.125" style="30" customWidth="1"/>
    <col min="1329" max="1329" width="3.75" style="30" customWidth="1"/>
    <col min="1330" max="1330" width="4.25" style="30" customWidth="1"/>
    <col min="1331" max="1331" width="4" style="30" customWidth="1"/>
    <col min="1332" max="1332" width="4.75" style="30" customWidth="1"/>
    <col min="1333" max="1535" width="9" style="30"/>
    <col min="1536" max="1536" width="5" style="30" customWidth="1"/>
    <col min="1537" max="1537" width="12.625" style="30" customWidth="1"/>
    <col min="1538" max="1538" width="12" style="30" customWidth="1"/>
    <col min="1539" max="1539" width="16.875" style="30" customWidth="1"/>
    <col min="1540" max="1541" width="4.125" style="30" customWidth="1"/>
    <col min="1542" max="1572" width="2.875" style="30" customWidth="1"/>
    <col min="1573" max="1574" width="4.125" style="30" customWidth="1"/>
    <col min="1575" max="1575" width="9.875" style="30" customWidth="1"/>
    <col min="1576" max="1576" width="9" style="30"/>
    <col min="1577" max="1577" width="13.75" style="30" customWidth="1"/>
    <col min="1578" max="1578" width="8.75" style="30" customWidth="1"/>
    <col min="1579" max="1581" width="4.5" style="30" customWidth="1"/>
    <col min="1582" max="1582" width="4" style="30" customWidth="1"/>
    <col min="1583" max="1583" width="3.75" style="30" customWidth="1"/>
    <col min="1584" max="1584" width="4.125" style="30" customWidth="1"/>
    <col min="1585" max="1585" width="3.75" style="30" customWidth="1"/>
    <col min="1586" max="1586" width="4.25" style="30" customWidth="1"/>
    <col min="1587" max="1587" width="4" style="30" customWidth="1"/>
    <col min="1588" max="1588" width="4.75" style="30" customWidth="1"/>
    <col min="1589" max="1791" width="9" style="30"/>
    <col min="1792" max="1792" width="5" style="30" customWidth="1"/>
    <col min="1793" max="1793" width="12.625" style="30" customWidth="1"/>
    <col min="1794" max="1794" width="12" style="30" customWidth="1"/>
    <col min="1795" max="1795" width="16.875" style="30" customWidth="1"/>
    <col min="1796" max="1797" width="4.125" style="30" customWidth="1"/>
    <col min="1798" max="1828" width="2.875" style="30" customWidth="1"/>
    <col min="1829" max="1830" width="4.125" style="30" customWidth="1"/>
    <col min="1831" max="1831" width="9.875" style="30" customWidth="1"/>
    <col min="1832" max="1832" width="9" style="30"/>
    <col min="1833" max="1833" width="13.75" style="30" customWidth="1"/>
    <col min="1834" max="1834" width="8.75" style="30" customWidth="1"/>
    <col min="1835" max="1837" width="4.5" style="30" customWidth="1"/>
    <col min="1838" max="1838" width="4" style="30" customWidth="1"/>
    <col min="1839" max="1839" width="3.75" style="30" customWidth="1"/>
    <col min="1840" max="1840" width="4.125" style="30" customWidth="1"/>
    <col min="1841" max="1841" width="3.75" style="30" customWidth="1"/>
    <col min="1842" max="1842" width="4.25" style="30" customWidth="1"/>
    <col min="1843" max="1843" width="4" style="30" customWidth="1"/>
    <col min="1844" max="1844" width="4.75" style="30" customWidth="1"/>
    <col min="1845" max="2047" width="9" style="30"/>
    <col min="2048" max="2048" width="5" style="30" customWidth="1"/>
    <col min="2049" max="2049" width="12.625" style="30" customWidth="1"/>
    <col min="2050" max="2050" width="12" style="30" customWidth="1"/>
    <col min="2051" max="2051" width="16.875" style="30" customWidth="1"/>
    <col min="2052" max="2053" width="4.125" style="30" customWidth="1"/>
    <col min="2054" max="2084" width="2.875" style="30" customWidth="1"/>
    <col min="2085" max="2086" width="4.125" style="30" customWidth="1"/>
    <col min="2087" max="2087" width="9.875" style="30" customWidth="1"/>
    <col min="2088" max="2088" width="9" style="30"/>
    <col min="2089" max="2089" width="13.75" style="30" customWidth="1"/>
    <col min="2090" max="2090" width="8.75" style="30" customWidth="1"/>
    <col min="2091" max="2093" width="4.5" style="30" customWidth="1"/>
    <col min="2094" max="2094" width="4" style="30" customWidth="1"/>
    <col min="2095" max="2095" width="3.75" style="30" customWidth="1"/>
    <col min="2096" max="2096" width="4.125" style="30" customWidth="1"/>
    <col min="2097" max="2097" width="3.75" style="30" customWidth="1"/>
    <col min="2098" max="2098" width="4.25" style="30" customWidth="1"/>
    <col min="2099" max="2099" width="4" style="30" customWidth="1"/>
    <col min="2100" max="2100" width="4.75" style="30" customWidth="1"/>
    <col min="2101" max="2303" width="9" style="30"/>
    <col min="2304" max="2304" width="5" style="30" customWidth="1"/>
    <col min="2305" max="2305" width="12.625" style="30" customWidth="1"/>
    <col min="2306" max="2306" width="12" style="30" customWidth="1"/>
    <col min="2307" max="2307" width="16.875" style="30" customWidth="1"/>
    <col min="2308" max="2309" width="4.125" style="30" customWidth="1"/>
    <col min="2310" max="2340" width="2.875" style="30" customWidth="1"/>
    <col min="2341" max="2342" width="4.125" style="30" customWidth="1"/>
    <col min="2343" max="2343" width="9.875" style="30" customWidth="1"/>
    <col min="2344" max="2344" width="9" style="30"/>
    <col min="2345" max="2345" width="13.75" style="30" customWidth="1"/>
    <col min="2346" max="2346" width="8.75" style="30" customWidth="1"/>
    <col min="2347" max="2349" width="4.5" style="30" customWidth="1"/>
    <col min="2350" max="2350" width="4" style="30" customWidth="1"/>
    <col min="2351" max="2351" width="3.75" style="30" customWidth="1"/>
    <col min="2352" max="2352" width="4.125" style="30" customWidth="1"/>
    <col min="2353" max="2353" width="3.75" style="30" customWidth="1"/>
    <col min="2354" max="2354" width="4.25" style="30" customWidth="1"/>
    <col min="2355" max="2355" width="4" style="30" customWidth="1"/>
    <col min="2356" max="2356" width="4.75" style="30" customWidth="1"/>
    <col min="2357" max="2559" width="9" style="30"/>
    <col min="2560" max="2560" width="5" style="30" customWidth="1"/>
    <col min="2561" max="2561" width="12.625" style="30" customWidth="1"/>
    <col min="2562" max="2562" width="12" style="30" customWidth="1"/>
    <col min="2563" max="2563" width="16.875" style="30" customWidth="1"/>
    <col min="2564" max="2565" width="4.125" style="30" customWidth="1"/>
    <col min="2566" max="2596" width="2.875" style="30" customWidth="1"/>
    <col min="2597" max="2598" width="4.125" style="30" customWidth="1"/>
    <col min="2599" max="2599" width="9.875" style="30" customWidth="1"/>
    <col min="2600" max="2600" width="9" style="30"/>
    <col min="2601" max="2601" width="13.75" style="30" customWidth="1"/>
    <col min="2602" max="2602" width="8.75" style="30" customWidth="1"/>
    <col min="2603" max="2605" width="4.5" style="30" customWidth="1"/>
    <col min="2606" max="2606" width="4" style="30" customWidth="1"/>
    <col min="2607" max="2607" width="3.75" style="30" customWidth="1"/>
    <col min="2608" max="2608" width="4.125" style="30" customWidth="1"/>
    <col min="2609" max="2609" width="3.75" style="30" customWidth="1"/>
    <col min="2610" max="2610" width="4.25" style="30" customWidth="1"/>
    <col min="2611" max="2611" width="4" style="30" customWidth="1"/>
    <col min="2612" max="2612" width="4.75" style="30" customWidth="1"/>
    <col min="2613" max="2815" width="9" style="30"/>
    <col min="2816" max="2816" width="5" style="30" customWidth="1"/>
    <col min="2817" max="2817" width="12.625" style="30" customWidth="1"/>
    <col min="2818" max="2818" width="12" style="30" customWidth="1"/>
    <col min="2819" max="2819" width="16.875" style="30" customWidth="1"/>
    <col min="2820" max="2821" width="4.125" style="30" customWidth="1"/>
    <col min="2822" max="2852" width="2.875" style="30" customWidth="1"/>
    <col min="2853" max="2854" width="4.125" style="30" customWidth="1"/>
    <col min="2855" max="2855" width="9.875" style="30" customWidth="1"/>
    <col min="2856" max="2856" width="9" style="30"/>
    <col min="2857" max="2857" width="13.75" style="30" customWidth="1"/>
    <col min="2858" max="2858" width="8.75" style="30" customWidth="1"/>
    <col min="2859" max="2861" width="4.5" style="30" customWidth="1"/>
    <col min="2862" max="2862" width="4" style="30" customWidth="1"/>
    <col min="2863" max="2863" width="3.75" style="30" customWidth="1"/>
    <col min="2864" max="2864" width="4.125" style="30" customWidth="1"/>
    <col min="2865" max="2865" width="3.75" style="30" customWidth="1"/>
    <col min="2866" max="2866" width="4.25" style="30" customWidth="1"/>
    <col min="2867" max="2867" width="4" style="30" customWidth="1"/>
    <col min="2868" max="2868" width="4.75" style="30" customWidth="1"/>
    <col min="2869" max="3071" width="9" style="30"/>
    <col min="3072" max="3072" width="5" style="30" customWidth="1"/>
    <col min="3073" max="3073" width="12.625" style="30" customWidth="1"/>
    <col min="3074" max="3074" width="12" style="30" customWidth="1"/>
    <col min="3075" max="3075" width="16.875" style="30" customWidth="1"/>
    <col min="3076" max="3077" width="4.125" style="30" customWidth="1"/>
    <col min="3078" max="3108" width="2.875" style="30" customWidth="1"/>
    <col min="3109" max="3110" width="4.125" style="30" customWidth="1"/>
    <col min="3111" max="3111" width="9.875" style="30" customWidth="1"/>
    <col min="3112" max="3112" width="9" style="30"/>
    <col min="3113" max="3113" width="13.75" style="30" customWidth="1"/>
    <col min="3114" max="3114" width="8.75" style="30" customWidth="1"/>
    <col min="3115" max="3117" width="4.5" style="30" customWidth="1"/>
    <col min="3118" max="3118" width="4" style="30" customWidth="1"/>
    <col min="3119" max="3119" width="3.75" style="30" customWidth="1"/>
    <col min="3120" max="3120" width="4.125" style="30" customWidth="1"/>
    <col min="3121" max="3121" width="3.75" style="30" customWidth="1"/>
    <col min="3122" max="3122" width="4.25" style="30" customWidth="1"/>
    <col min="3123" max="3123" width="4" style="30" customWidth="1"/>
    <col min="3124" max="3124" width="4.75" style="30" customWidth="1"/>
    <col min="3125" max="3327" width="9" style="30"/>
    <col min="3328" max="3328" width="5" style="30" customWidth="1"/>
    <col min="3329" max="3329" width="12.625" style="30" customWidth="1"/>
    <col min="3330" max="3330" width="12" style="30" customWidth="1"/>
    <col min="3331" max="3331" width="16.875" style="30" customWidth="1"/>
    <col min="3332" max="3333" width="4.125" style="30" customWidth="1"/>
    <col min="3334" max="3364" width="2.875" style="30" customWidth="1"/>
    <col min="3365" max="3366" width="4.125" style="30" customWidth="1"/>
    <col min="3367" max="3367" width="9.875" style="30" customWidth="1"/>
    <col min="3368" max="3368" width="9" style="30"/>
    <col min="3369" max="3369" width="13.75" style="30" customWidth="1"/>
    <col min="3370" max="3370" width="8.75" style="30" customWidth="1"/>
    <col min="3371" max="3373" width="4.5" style="30" customWidth="1"/>
    <col min="3374" max="3374" width="4" style="30" customWidth="1"/>
    <col min="3375" max="3375" width="3.75" style="30" customWidth="1"/>
    <col min="3376" max="3376" width="4.125" style="30" customWidth="1"/>
    <col min="3377" max="3377" width="3.75" style="30" customWidth="1"/>
    <col min="3378" max="3378" width="4.25" style="30" customWidth="1"/>
    <col min="3379" max="3379" width="4" style="30" customWidth="1"/>
    <col min="3380" max="3380" width="4.75" style="30" customWidth="1"/>
    <col min="3381" max="3583" width="9" style="30"/>
    <col min="3584" max="3584" width="5" style="30" customWidth="1"/>
    <col min="3585" max="3585" width="12.625" style="30" customWidth="1"/>
    <col min="3586" max="3586" width="12" style="30" customWidth="1"/>
    <col min="3587" max="3587" width="16.875" style="30" customWidth="1"/>
    <col min="3588" max="3589" width="4.125" style="30" customWidth="1"/>
    <col min="3590" max="3620" width="2.875" style="30" customWidth="1"/>
    <col min="3621" max="3622" width="4.125" style="30" customWidth="1"/>
    <col min="3623" max="3623" width="9.875" style="30" customWidth="1"/>
    <col min="3624" max="3624" width="9" style="30"/>
    <col min="3625" max="3625" width="13.75" style="30" customWidth="1"/>
    <col min="3626" max="3626" width="8.75" style="30" customWidth="1"/>
    <col min="3627" max="3629" width="4.5" style="30" customWidth="1"/>
    <col min="3630" max="3630" width="4" style="30" customWidth="1"/>
    <col min="3631" max="3631" width="3.75" style="30" customWidth="1"/>
    <col min="3632" max="3632" width="4.125" style="30" customWidth="1"/>
    <col min="3633" max="3633" width="3.75" style="30" customWidth="1"/>
    <col min="3634" max="3634" width="4.25" style="30" customWidth="1"/>
    <col min="3635" max="3635" width="4" style="30" customWidth="1"/>
    <col min="3636" max="3636" width="4.75" style="30" customWidth="1"/>
    <col min="3637" max="3839" width="9" style="30"/>
    <col min="3840" max="3840" width="5" style="30" customWidth="1"/>
    <col min="3841" max="3841" width="12.625" style="30" customWidth="1"/>
    <col min="3842" max="3842" width="12" style="30" customWidth="1"/>
    <col min="3843" max="3843" width="16.875" style="30" customWidth="1"/>
    <col min="3844" max="3845" width="4.125" style="30" customWidth="1"/>
    <col min="3846" max="3876" width="2.875" style="30" customWidth="1"/>
    <col min="3877" max="3878" width="4.125" style="30" customWidth="1"/>
    <col min="3879" max="3879" width="9.875" style="30" customWidth="1"/>
    <col min="3880" max="3880" width="9" style="30"/>
    <col min="3881" max="3881" width="13.75" style="30" customWidth="1"/>
    <col min="3882" max="3882" width="8.75" style="30" customWidth="1"/>
    <col min="3883" max="3885" width="4.5" style="30" customWidth="1"/>
    <col min="3886" max="3886" width="4" style="30" customWidth="1"/>
    <col min="3887" max="3887" width="3.75" style="30" customWidth="1"/>
    <col min="3888" max="3888" width="4.125" style="30" customWidth="1"/>
    <col min="3889" max="3889" width="3.75" style="30" customWidth="1"/>
    <col min="3890" max="3890" width="4.25" style="30" customWidth="1"/>
    <col min="3891" max="3891" width="4" style="30" customWidth="1"/>
    <col min="3892" max="3892" width="4.75" style="30" customWidth="1"/>
    <col min="3893" max="4095" width="9" style="30"/>
    <col min="4096" max="4096" width="5" style="30" customWidth="1"/>
    <col min="4097" max="4097" width="12.625" style="30" customWidth="1"/>
    <col min="4098" max="4098" width="12" style="30" customWidth="1"/>
    <col min="4099" max="4099" width="16.875" style="30" customWidth="1"/>
    <col min="4100" max="4101" width="4.125" style="30" customWidth="1"/>
    <col min="4102" max="4132" width="2.875" style="30" customWidth="1"/>
    <col min="4133" max="4134" width="4.125" style="30" customWidth="1"/>
    <col min="4135" max="4135" width="9.875" style="30" customWidth="1"/>
    <col min="4136" max="4136" width="9" style="30"/>
    <col min="4137" max="4137" width="13.75" style="30" customWidth="1"/>
    <col min="4138" max="4138" width="8.75" style="30" customWidth="1"/>
    <col min="4139" max="4141" width="4.5" style="30" customWidth="1"/>
    <col min="4142" max="4142" width="4" style="30" customWidth="1"/>
    <col min="4143" max="4143" width="3.75" style="30" customWidth="1"/>
    <col min="4144" max="4144" width="4.125" style="30" customWidth="1"/>
    <col min="4145" max="4145" width="3.75" style="30" customWidth="1"/>
    <col min="4146" max="4146" width="4.25" style="30" customWidth="1"/>
    <col min="4147" max="4147" width="4" style="30" customWidth="1"/>
    <col min="4148" max="4148" width="4.75" style="30" customWidth="1"/>
    <col min="4149" max="4351" width="9" style="30"/>
    <col min="4352" max="4352" width="5" style="30" customWidth="1"/>
    <col min="4353" max="4353" width="12.625" style="30" customWidth="1"/>
    <col min="4354" max="4354" width="12" style="30" customWidth="1"/>
    <col min="4355" max="4355" width="16.875" style="30" customWidth="1"/>
    <col min="4356" max="4357" width="4.125" style="30" customWidth="1"/>
    <col min="4358" max="4388" width="2.875" style="30" customWidth="1"/>
    <col min="4389" max="4390" width="4.125" style="30" customWidth="1"/>
    <col min="4391" max="4391" width="9.875" style="30" customWidth="1"/>
    <col min="4392" max="4392" width="9" style="30"/>
    <col min="4393" max="4393" width="13.75" style="30" customWidth="1"/>
    <col min="4394" max="4394" width="8.75" style="30" customWidth="1"/>
    <col min="4395" max="4397" width="4.5" style="30" customWidth="1"/>
    <col min="4398" max="4398" width="4" style="30" customWidth="1"/>
    <col min="4399" max="4399" width="3.75" style="30" customWidth="1"/>
    <col min="4400" max="4400" width="4.125" style="30" customWidth="1"/>
    <col min="4401" max="4401" width="3.75" style="30" customWidth="1"/>
    <col min="4402" max="4402" width="4.25" style="30" customWidth="1"/>
    <col min="4403" max="4403" width="4" style="30" customWidth="1"/>
    <col min="4404" max="4404" width="4.75" style="30" customWidth="1"/>
    <col min="4405" max="4607" width="9" style="30"/>
    <col min="4608" max="4608" width="5" style="30" customWidth="1"/>
    <col min="4609" max="4609" width="12.625" style="30" customWidth="1"/>
    <col min="4610" max="4610" width="12" style="30" customWidth="1"/>
    <col min="4611" max="4611" width="16.875" style="30" customWidth="1"/>
    <col min="4612" max="4613" width="4.125" style="30" customWidth="1"/>
    <col min="4614" max="4644" width="2.875" style="30" customWidth="1"/>
    <col min="4645" max="4646" width="4.125" style="30" customWidth="1"/>
    <col min="4647" max="4647" width="9.875" style="30" customWidth="1"/>
    <col min="4648" max="4648" width="9" style="30"/>
    <col min="4649" max="4649" width="13.75" style="30" customWidth="1"/>
    <col min="4650" max="4650" width="8.75" style="30" customWidth="1"/>
    <col min="4651" max="4653" width="4.5" style="30" customWidth="1"/>
    <col min="4654" max="4654" width="4" style="30" customWidth="1"/>
    <col min="4655" max="4655" width="3.75" style="30" customWidth="1"/>
    <col min="4656" max="4656" width="4.125" style="30" customWidth="1"/>
    <col min="4657" max="4657" width="3.75" style="30" customWidth="1"/>
    <col min="4658" max="4658" width="4.25" style="30" customWidth="1"/>
    <col min="4659" max="4659" width="4" style="30" customWidth="1"/>
    <col min="4660" max="4660" width="4.75" style="30" customWidth="1"/>
    <col min="4661" max="4863" width="9" style="30"/>
    <col min="4864" max="4864" width="5" style="30" customWidth="1"/>
    <col min="4865" max="4865" width="12.625" style="30" customWidth="1"/>
    <col min="4866" max="4866" width="12" style="30" customWidth="1"/>
    <col min="4867" max="4867" width="16.875" style="30" customWidth="1"/>
    <col min="4868" max="4869" width="4.125" style="30" customWidth="1"/>
    <col min="4870" max="4900" width="2.875" style="30" customWidth="1"/>
    <col min="4901" max="4902" width="4.125" style="30" customWidth="1"/>
    <col min="4903" max="4903" width="9.875" style="30" customWidth="1"/>
    <col min="4904" max="4904" width="9" style="30"/>
    <col min="4905" max="4905" width="13.75" style="30" customWidth="1"/>
    <col min="4906" max="4906" width="8.75" style="30" customWidth="1"/>
    <col min="4907" max="4909" width="4.5" style="30" customWidth="1"/>
    <col min="4910" max="4910" width="4" style="30" customWidth="1"/>
    <col min="4911" max="4911" width="3.75" style="30" customWidth="1"/>
    <col min="4912" max="4912" width="4.125" style="30" customWidth="1"/>
    <col min="4913" max="4913" width="3.75" style="30" customWidth="1"/>
    <col min="4914" max="4914" width="4.25" style="30" customWidth="1"/>
    <col min="4915" max="4915" width="4" style="30" customWidth="1"/>
    <col min="4916" max="4916" width="4.75" style="30" customWidth="1"/>
    <col min="4917" max="5119" width="9" style="30"/>
    <col min="5120" max="5120" width="5" style="30" customWidth="1"/>
    <col min="5121" max="5121" width="12.625" style="30" customWidth="1"/>
    <col min="5122" max="5122" width="12" style="30" customWidth="1"/>
    <col min="5123" max="5123" width="16.875" style="30" customWidth="1"/>
    <col min="5124" max="5125" width="4.125" style="30" customWidth="1"/>
    <col min="5126" max="5156" width="2.875" style="30" customWidth="1"/>
    <col min="5157" max="5158" width="4.125" style="30" customWidth="1"/>
    <col min="5159" max="5159" width="9.875" style="30" customWidth="1"/>
    <col min="5160" max="5160" width="9" style="30"/>
    <col min="5161" max="5161" width="13.75" style="30" customWidth="1"/>
    <col min="5162" max="5162" width="8.75" style="30" customWidth="1"/>
    <col min="5163" max="5165" width="4.5" style="30" customWidth="1"/>
    <col min="5166" max="5166" width="4" style="30" customWidth="1"/>
    <col min="5167" max="5167" width="3.75" style="30" customWidth="1"/>
    <col min="5168" max="5168" width="4.125" style="30" customWidth="1"/>
    <col min="5169" max="5169" width="3.75" style="30" customWidth="1"/>
    <col min="5170" max="5170" width="4.25" style="30" customWidth="1"/>
    <col min="5171" max="5171" width="4" style="30" customWidth="1"/>
    <col min="5172" max="5172" width="4.75" style="30" customWidth="1"/>
    <col min="5173" max="5375" width="9" style="30"/>
    <col min="5376" max="5376" width="5" style="30" customWidth="1"/>
    <col min="5377" max="5377" width="12.625" style="30" customWidth="1"/>
    <col min="5378" max="5378" width="12" style="30" customWidth="1"/>
    <col min="5379" max="5379" width="16.875" style="30" customWidth="1"/>
    <col min="5380" max="5381" width="4.125" style="30" customWidth="1"/>
    <col min="5382" max="5412" width="2.875" style="30" customWidth="1"/>
    <col min="5413" max="5414" width="4.125" style="30" customWidth="1"/>
    <col min="5415" max="5415" width="9.875" style="30" customWidth="1"/>
    <col min="5416" max="5416" width="9" style="30"/>
    <col min="5417" max="5417" width="13.75" style="30" customWidth="1"/>
    <col min="5418" max="5418" width="8.75" style="30" customWidth="1"/>
    <col min="5419" max="5421" width="4.5" style="30" customWidth="1"/>
    <col min="5422" max="5422" width="4" style="30" customWidth="1"/>
    <col min="5423" max="5423" width="3.75" style="30" customWidth="1"/>
    <col min="5424" max="5424" width="4.125" style="30" customWidth="1"/>
    <col min="5425" max="5425" width="3.75" style="30" customWidth="1"/>
    <col min="5426" max="5426" width="4.25" style="30" customWidth="1"/>
    <col min="5427" max="5427" width="4" style="30" customWidth="1"/>
    <col min="5428" max="5428" width="4.75" style="30" customWidth="1"/>
    <col min="5429" max="5631" width="9" style="30"/>
    <col min="5632" max="5632" width="5" style="30" customWidth="1"/>
    <col min="5633" max="5633" width="12.625" style="30" customWidth="1"/>
    <col min="5634" max="5634" width="12" style="30" customWidth="1"/>
    <col min="5635" max="5635" width="16.875" style="30" customWidth="1"/>
    <col min="5636" max="5637" width="4.125" style="30" customWidth="1"/>
    <col min="5638" max="5668" width="2.875" style="30" customWidth="1"/>
    <col min="5669" max="5670" width="4.125" style="30" customWidth="1"/>
    <col min="5671" max="5671" width="9.875" style="30" customWidth="1"/>
    <col min="5672" max="5672" width="9" style="30"/>
    <col min="5673" max="5673" width="13.75" style="30" customWidth="1"/>
    <col min="5674" max="5674" width="8.75" style="30" customWidth="1"/>
    <col min="5675" max="5677" width="4.5" style="30" customWidth="1"/>
    <col min="5678" max="5678" width="4" style="30" customWidth="1"/>
    <col min="5679" max="5679" width="3.75" style="30" customWidth="1"/>
    <col min="5680" max="5680" width="4.125" style="30" customWidth="1"/>
    <col min="5681" max="5681" width="3.75" style="30" customWidth="1"/>
    <col min="5682" max="5682" width="4.25" style="30" customWidth="1"/>
    <col min="5683" max="5683" width="4" style="30" customWidth="1"/>
    <col min="5684" max="5684" width="4.75" style="30" customWidth="1"/>
    <col min="5685" max="5887" width="9" style="30"/>
    <col min="5888" max="5888" width="5" style="30" customWidth="1"/>
    <col min="5889" max="5889" width="12.625" style="30" customWidth="1"/>
    <col min="5890" max="5890" width="12" style="30" customWidth="1"/>
    <col min="5891" max="5891" width="16.875" style="30" customWidth="1"/>
    <col min="5892" max="5893" width="4.125" style="30" customWidth="1"/>
    <col min="5894" max="5924" width="2.875" style="30" customWidth="1"/>
    <col min="5925" max="5926" width="4.125" style="30" customWidth="1"/>
    <col min="5927" max="5927" width="9.875" style="30" customWidth="1"/>
    <col min="5928" max="5928" width="9" style="30"/>
    <col min="5929" max="5929" width="13.75" style="30" customWidth="1"/>
    <col min="5930" max="5930" width="8.75" style="30" customWidth="1"/>
    <col min="5931" max="5933" width="4.5" style="30" customWidth="1"/>
    <col min="5934" max="5934" width="4" style="30" customWidth="1"/>
    <col min="5935" max="5935" width="3.75" style="30" customWidth="1"/>
    <col min="5936" max="5936" width="4.125" style="30" customWidth="1"/>
    <col min="5937" max="5937" width="3.75" style="30" customWidth="1"/>
    <col min="5938" max="5938" width="4.25" style="30" customWidth="1"/>
    <col min="5939" max="5939" width="4" style="30" customWidth="1"/>
    <col min="5940" max="5940" width="4.75" style="30" customWidth="1"/>
    <col min="5941" max="6143" width="9" style="30"/>
    <col min="6144" max="6144" width="5" style="30" customWidth="1"/>
    <col min="6145" max="6145" width="12.625" style="30" customWidth="1"/>
    <col min="6146" max="6146" width="12" style="30" customWidth="1"/>
    <col min="6147" max="6147" width="16.875" style="30" customWidth="1"/>
    <col min="6148" max="6149" width="4.125" style="30" customWidth="1"/>
    <col min="6150" max="6180" width="2.875" style="30" customWidth="1"/>
    <col min="6181" max="6182" width="4.125" style="30" customWidth="1"/>
    <col min="6183" max="6183" width="9.875" style="30" customWidth="1"/>
    <col min="6184" max="6184" width="9" style="30"/>
    <col min="6185" max="6185" width="13.75" style="30" customWidth="1"/>
    <col min="6186" max="6186" width="8.75" style="30" customWidth="1"/>
    <col min="6187" max="6189" width="4.5" style="30" customWidth="1"/>
    <col min="6190" max="6190" width="4" style="30" customWidth="1"/>
    <col min="6191" max="6191" width="3.75" style="30" customWidth="1"/>
    <col min="6192" max="6192" width="4.125" style="30" customWidth="1"/>
    <col min="6193" max="6193" width="3.75" style="30" customWidth="1"/>
    <col min="6194" max="6194" width="4.25" style="30" customWidth="1"/>
    <col min="6195" max="6195" width="4" style="30" customWidth="1"/>
    <col min="6196" max="6196" width="4.75" style="30" customWidth="1"/>
    <col min="6197" max="6399" width="9" style="30"/>
    <col min="6400" max="6400" width="5" style="30" customWidth="1"/>
    <col min="6401" max="6401" width="12.625" style="30" customWidth="1"/>
    <col min="6402" max="6402" width="12" style="30" customWidth="1"/>
    <col min="6403" max="6403" width="16.875" style="30" customWidth="1"/>
    <col min="6404" max="6405" width="4.125" style="30" customWidth="1"/>
    <col min="6406" max="6436" width="2.875" style="30" customWidth="1"/>
    <col min="6437" max="6438" width="4.125" style="30" customWidth="1"/>
    <col min="6439" max="6439" width="9.875" style="30" customWidth="1"/>
    <col min="6440" max="6440" width="9" style="30"/>
    <col min="6441" max="6441" width="13.75" style="30" customWidth="1"/>
    <col min="6442" max="6442" width="8.75" style="30" customWidth="1"/>
    <col min="6443" max="6445" width="4.5" style="30" customWidth="1"/>
    <col min="6446" max="6446" width="4" style="30" customWidth="1"/>
    <col min="6447" max="6447" width="3.75" style="30" customWidth="1"/>
    <col min="6448" max="6448" width="4.125" style="30" customWidth="1"/>
    <col min="6449" max="6449" width="3.75" style="30" customWidth="1"/>
    <col min="6450" max="6450" width="4.25" style="30" customWidth="1"/>
    <col min="6451" max="6451" width="4" style="30" customWidth="1"/>
    <col min="6452" max="6452" width="4.75" style="30" customWidth="1"/>
    <col min="6453" max="6655" width="9" style="30"/>
    <col min="6656" max="6656" width="5" style="30" customWidth="1"/>
    <col min="6657" max="6657" width="12.625" style="30" customWidth="1"/>
    <col min="6658" max="6658" width="12" style="30" customWidth="1"/>
    <col min="6659" max="6659" width="16.875" style="30" customWidth="1"/>
    <col min="6660" max="6661" width="4.125" style="30" customWidth="1"/>
    <col min="6662" max="6692" width="2.875" style="30" customWidth="1"/>
    <col min="6693" max="6694" width="4.125" style="30" customWidth="1"/>
    <col min="6695" max="6695" width="9.875" style="30" customWidth="1"/>
    <col min="6696" max="6696" width="9" style="30"/>
    <col min="6697" max="6697" width="13.75" style="30" customWidth="1"/>
    <col min="6698" max="6698" width="8.75" style="30" customWidth="1"/>
    <col min="6699" max="6701" width="4.5" style="30" customWidth="1"/>
    <col min="6702" max="6702" width="4" style="30" customWidth="1"/>
    <col min="6703" max="6703" width="3.75" style="30" customWidth="1"/>
    <col min="6704" max="6704" width="4.125" style="30" customWidth="1"/>
    <col min="6705" max="6705" width="3.75" style="30" customWidth="1"/>
    <col min="6706" max="6706" width="4.25" style="30" customWidth="1"/>
    <col min="6707" max="6707" width="4" style="30" customWidth="1"/>
    <col min="6708" max="6708" width="4.75" style="30" customWidth="1"/>
    <col min="6709" max="6911" width="9" style="30"/>
    <col min="6912" max="6912" width="5" style="30" customWidth="1"/>
    <col min="6913" max="6913" width="12.625" style="30" customWidth="1"/>
    <col min="6914" max="6914" width="12" style="30" customWidth="1"/>
    <col min="6915" max="6915" width="16.875" style="30" customWidth="1"/>
    <col min="6916" max="6917" width="4.125" style="30" customWidth="1"/>
    <col min="6918" max="6948" width="2.875" style="30" customWidth="1"/>
    <col min="6949" max="6950" width="4.125" style="30" customWidth="1"/>
    <col min="6951" max="6951" width="9.875" style="30" customWidth="1"/>
    <col min="6952" max="6952" width="9" style="30"/>
    <col min="6953" max="6953" width="13.75" style="30" customWidth="1"/>
    <col min="6954" max="6954" width="8.75" style="30" customWidth="1"/>
    <col min="6955" max="6957" width="4.5" style="30" customWidth="1"/>
    <col min="6958" max="6958" width="4" style="30" customWidth="1"/>
    <col min="6959" max="6959" width="3.75" style="30" customWidth="1"/>
    <col min="6960" max="6960" width="4.125" style="30" customWidth="1"/>
    <col min="6961" max="6961" width="3.75" style="30" customWidth="1"/>
    <col min="6962" max="6962" width="4.25" style="30" customWidth="1"/>
    <col min="6963" max="6963" width="4" style="30" customWidth="1"/>
    <col min="6964" max="6964" width="4.75" style="30" customWidth="1"/>
    <col min="6965" max="7167" width="9" style="30"/>
    <col min="7168" max="7168" width="5" style="30" customWidth="1"/>
    <col min="7169" max="7169" width="12.625" style="30" customWidth="1"/>
    <col min="7170" max="7170" width="12" style="30" customWidth="1"/>
    <col min="7171" max="7171" width="16.875" style="30" customWidth="1"/>
    <col min="7172" max="7173" width="4.125" style="30" customWidth="1"/>
    <col min="7174" max="7204" width="2.875" style="30" customWidth="1"/>
    <col min="7205" max="7206" width="4.125" style="30" customWidth="1"/>
    <col min="7207" max="7207" width="9.875" style="30" customWidth="1"/>
    <col min="7208" max="7208" width="9" style="30"/>
    <col min="7209" max="7209" width="13.75" style="30" customWidth="1"/>
    <col min="7210" max="7210" width="8.75" style="30" customWidth="1"/>
    <col min="7211" max="7213" width="4.5" style="30" customWidth="1"/>
    <col min="7214" max="7214" width="4" style="30" customWidth="1"/>
    <col min="7215" max="7215" width="3.75" style="30" customWidth="1"/>
    <col min="7216" max="7216" width="4.125" style="30" customWidth="1"/>
    <col min="7217" max="7217" width="3.75" style="30" customWidth="1"/>
    <col min="7218" max="7218" width="4.25" style="30" customWidth="1"/>
    <col min="7219" max="7219" width="4" style="30" customWidth="1"/>
    <col min="7220" max="7220" width="4.75" style="30" customWidth="1"/>
    <col min="7221" max="7423" width="9" style="30"/>
    <col min="7424" max="7424" width="5" style="30" customWidth="1"/>
    <col min="7425" max="7425" width="12.625" style="30" customWidth="1"/>
    <col min="7426" max="7426" width="12" style="30" customWidth="1"/>
    <col min="7427" max="7427" width="16.875" style="30" customWidth="1"/>
    <col min="7428" max="7429" width="4.125" style="30" customWidth="1"/>
    <col min="7430" max="7460" width="2.875" style="30" customWidth="1"/>
    <col min="7461" max="7462" width="4.125" style="30" customWidth="1"/>
    <col min="7463" max="7463" width="9.875" style="30" customWidth="1"/>
    <col min="7464" max="7464" width="9" style="30"/>
    <col min="7465" max="7465" width="13.75" style="30" customWidth="1"/>
    <col min="7466" max="7466" width="8.75" style="30" customWidth="1"/>
    <col min="7467" max="7469" width="4.5" style="30" customWidth="1"/>
    <col min="7470" max="7470" width="4" style="30" customWidth="1"/>
    <col min="7471" max="7471" width="3.75" style="30" customWidth="1"/>
    <col min="7472" max="7472" width="4.125" style="30" customWidth="1"/>
    <col min="7473" max="7473" width="3.75" style="30" customWidth="1"/>
    <col min="7474" max="7474" width="4.25" style="30" customWidth="1"/>
    <col min="7475" max="7475" width="4" style="30" customWidth="1"/>
    <col min="7476" max="7476" width="4.75" style="30" customWidth="1"/>
    <col min="7477" max="7679" width="9" style="30"/>
    <col min="7680" max="7680" width="5" style="30" customWidth="1"/>
    <col min="7681" max="7681" width="12.625" style="30" customWidth="1"/>
    <col min="7682" max="7682" width="12" style="30" customWidth="1"/>
    <col min="7683" max="7683" width="16.875" style="30" customWidth="1"/>
    <col min="7684" max="7685" width="4.125" style="30" customWidth="1"/>
    <col min="7686" max="7716" width="2.875" style="30" customWidth="1"/>
    <col min="7717" max="7718" width="4.125" style="30" customWidth="1"/>
    <col min="7719" max="7719" width="9.875" style="30" customWidth="1"/>
    <col min="7720" max="7720" width="9" style="30"/>
    <col min="7721" max="7721" width="13.75" style="30" customWidth="1"/>
    <col min="7722" max="7722" width="8.75" style="30" customWidth="1"/>
    <col min="7723" max="7725" width="4.5" style="30" customWidth="1"/>
    <col min="7726" max="7726" width="4" style="30" customWidth="1"/>
    <col min="7727" max="7727" width="3.75" style="30" customWidth="1"/>
    <col min="7728" max="7728" width="4.125" style="30" customWidth="1"/>
    <col min="7729" max="7729" width="3.75" style="30" customWidth="1"/>
    <col min="7730" max="7730" width="4.25" style="30" customWidth="1"/>
    <col min="7731" max="7731" width="4" style="30" customWidth="1"/>
    <col min="7732" max="7732" width="4.75" style="30" customWidth="1"/>
    <col min="7733" max="7935" width="9" style="30"/>
    <col min="7936" max="7936" width="5" style="30" customWidth="1"/>
    <col min="7937" max="7937" width="12.625" style="30" customWidth="1"/>
    <col min="7938" max="7938" width="12" style="30" customWidth="1"/>
    <col min="7939" max="7939" width="16.875" style="30" customWidth="1"/>
    <col min="7940" max="7941" width="4.125" style="30" customWidth="1"/>
    <col min="7942" max="7972" width="2.875" style="30" customWidth="1"/>
    <col min="7973" max="7974" width="4.125" style="30" customWidth="1"/>
    <col min="7975" max="7975" width="9.875" style="30" customWidth="1"/>
    <col min="7976" max="7976" width="9" style="30"/>
    <col min="7977" max="7977" width="13.75" style="30" customWidth="1"/>
    <col min="7978" max="7978" width="8.75" style="30" customWidth="1"/>
    <col min="7979" max="7981" width="4.5" style="30" customWidth="1"/>
    <col min="7982" max="7982" width="4" style="30" customWidth="1"/>
    <col min="7983" max="7983" width="3.75" style="30" customWidth="1"/>
    <col min="7984" max="7984" width="4.125" style="30" customWidth="1"/>
    <col min="7985" max="7985" width="3.75" style="30" customWidth="1"/>
    <col min="7986" max="7986" width="4.25" style="30" customWidth="1"/>
    <col min="7987" max="7987" width="4" style="30" customWidth="1"/>
    <col min="7988" max="7988" width="4.75" style="30" customWidth="1"/>
    <col min="7989" max="8191" width="9" style="30"/>
    <col min="8192" max="8192" width="5" style="30" customWidth="1"/>
    <col min="8193" max="8193" width="12.625" style="30" customWidth="1"/>
    <col min="8194" max="8194" width="12" style="30" customWidth="1"/>
    <col min="8195" max="8195" width="16.875" style="30" customWidth="1"/>
    <col min="8196" max="8197" width="4.125" style="30" customWidth="1"/>
    <col min="8198" max="8228" width="2.875" style="30" customWidth="1"/>
    <col min="8229" max="8230" width="4.125" style="30" customWidth="1"/>
    <col min="8231" max="8231" width="9.875" style="30" customWidth="1"/>
    <col min="8232" max="8232" width="9" style="30"/>
    <col min="8233" max="8233" width="13.75" style="30" customWidth="1"/>
    <col min="8234" max="8234" width="8.75" style="30" customWidth="1"/>
    <col min="8235" max="8237" width="4.5" style="30" customWidth="1"/>
    <col min="8238" max="8238" width="4" style="30" customWidth="1"/>
    <col min="8239" max="8239" width="3.75" style="30" customWidth="1"/>
    <col min="8240" max="8240" width="4.125" style="30" customWidth="1"/>
    <col min="8241" max="8241" width="3.75" style="30" customWidth="1"/>
    <col min="8242" max="8242" width="4.25" style="30" customWidth="1"/>
    <col min="8243" max="8243" width="4" style="30" customWidth="1"/>
    <col min="8244" max="8244" width="4.75" style="30" customWidth="1"/>
    <col min="8245" max="8447" width="9" style="30"/>
    <col min="8448" max="8448" width="5" style="30" customWidth="1"/>
    <col min="8449" max="8449" width="12.625" style="30" customWidth="1"/>
    <col min="8450" max="8450" width="12" style="30" customWidth="1"/>
    <col min="8451" max="8451" width="16.875" style="30" customWidth="1"/>
    <col min="8452" max="8453" width="4.125" style="30" customWidth="1"/>
    <col min="8454" max="8484" width="2.875" style="30" customWidth="1"/>
    <col min="8485" max="8486" width="4.125" style="30" customWidth="1"/>
    <col min="8487" max="8487" width="9.875" style="30" customWidth="1"/>
    <col min="8488" max="8488" width="9" style="30"/>
    <col min="8489" max="8489" width="13.75" style="30" customWidth="1"/>
    <col min="8490" max="8490" width="8.75" style="30" customWidth="1"/>
    <col min="8491" max="8493" width="4.5" style="30" customWidth="1"/>
    <col min="8494" max="8494" width="4" style="30" customWidth="1"/>
    <col min="8495" max="8495" width="3.75" style="30" customWidth="1"/>
    <col min="8496" max="8496" width="4.125" style="30" customWidth="1"/>
    <col min="8497" max="8497" width="3.75" style="30" customWidth="1"/>
    <col min="8498" max="8498" width="4.25" style="30" customWidth="1"/>
    <col min="8499" max="8499" width="4" style="30" customWidth="1"/>
    <col min="8500" max="8500" width="4.75" style="30" customWidth="1"/>
    <col min="8501" max="8703" width="9" style="30"/>
    <col min="8704" max="8704" width="5" style="30" customWidth="1"/>
    <col min="8705" max="8705" width="12.625" style="30" customWidth="1"/>
    <col min="8706" max="8706" width="12" style="30" customWidth="1"/>
    <col min="8707" max="8707" width="16.875" style="30" customWidth="1"/>
    <col min="8708" max="8709" width="4.125" style="30" customWidth="1"/>
    <col min="8710" max="8740" width="2.875" style="30" customWidth="1"/>
    <col min="8741" max="8742" width="4.125" style="30" customWidth="1"/>
    <col min="8743" max="8743" width="9.875" style="30" customWidth="1"/>
    <col min="8744" max="8744" width="9" style="30"/>
    <col min="8745" max="8745" width="13.75" style="30" customWidth="1"/>
    <col min="8746" max="8746" width="8.75" style="30" customWidth="1"/>
    <col min="8747" max="8749" width="4.5" style="30" customWidth="1"/>
    <col min="8750" max="8750" width="4" style="30" customWidth="1"/>
    <col min="8751" max="8751" width="3.75" style="30" customWidth="1"/>
    <col min="8752" max="8752" width="4.125" style="30" customWidth="1"/>
    <col min="8753" max="8753" width="3.75" style="30" customWidth="1"/>
    <col min="8754" max="8754" width="4.25" style="30" customWidth="1"/>
    <col min="8755" max="8755" width="4" style="30" customWidth="1"/>
    <col min="8756" max="8756" width="4.75" style="30" customWidth="1"/>
    <col min="8757" max="8959" width="9" style="30"/>
    <col min="8960" max="8960" width="5" style="30" customWidth="1"/>
    <col min="8961" max="8961" width="12.625" style="30" customWidth="1"/>
    <col min="8962" max="8962" width="12" style="30" customWidth="1"/>
    <col min="8963" max="8963" width="16.875" style="30" customWidth="1"/>
    <col min="8964" max="8965" width="4.125" style="30" customWidth="1"/>
    <col min="8966" max="8996" width="2.875" style="30" customWidth="1"/>
    <col min="8997" max="8998" width="4.125" style="30" customWidth="1"/>
    <col min="8999" max="8999" width="9.875" style="30" customWidth="1"/>
    <col min="9000" max="9000" width="9" style="30"/>
    <col min="9001" max="9001" width="13.75" style="30" customWidth="1"/>
    <col min="9002" max="9002" width="8.75" style="30" customWidth="1"/>
    <col min="9003" max="9005" width="4.5" style="30" customWidth="1"/>
    <col min="9006" max="9006" width="4" style="30" customWidth="1"/>
    <col min="9007" max="9007" width="3.75" style="30" customWidth="1"/>
    <col min="9008" max="9008" width="4.125" style="30" customWidth="1"/>
    <col min="9009" max="9009" width="3.75" style="30" customWidth="1"/>
    <col min="9010" max="9010" width="4.25" style="30" customWidth="1"/>
    <col min="9011" max="9011" width="4" style="30" customWidth="1"/>
    <col min="9012" max="9012" width="4.75" style="30" customWidth="1"/>
    <col min="9013" max="9215" width="9" style="30"/>
    <col min="9216" max="9216" width="5" style="30" customWidth="1"/>
    <col min="9217" max="9217" width="12.625" style="30" customWidth="1"/>
    <col min="9218" max="9218" width="12" style="30" customWidth="1"/>
    <col min="9219" max="9219" width="16.875" style="30" customWidth="1"/>
    <col min="9220" max="9221" width="4.125" style="30" customWidth="1"/>
    <col min="9222" max="9252" width="2.875" style="30" customWidth="1"/>
    <col min="9253" max="9254" width="4.125" style="30" customWidth="1"/>
    <col min="9255" max="9255" width="9.875" style="30" customWidth="1"/>
    <col min="9256" max="9256" width="9" style="30"/>
    <col min="9257" max="9257" width="13.75" style="30" customWidth="1"/>
    <col min="9258" max="9258" width="8.75" style="30" customWidth="1"/>
    <col min="9259" max="9261" width="4.5" style="30" customWidth="1"/>
    <col min="9262" max="9262" width="4" style="30" customWidth="1"/>
    <col min="9263" max="9263" width="3.75" style="30" customWidth="1"/>
    <col min="9264" max="9264" width="4.125" style="30" customWidth="1"/>
    <col min="9265" max="9265" width="3.75" style="30" customWidth="1"/>
    <col min="9266" max="9266" width="4.25" style="30" customWidth="1"/>
    <col min="9267" max="9267" width="4" style="30" customWidth="1"/>
    <col min="9268" max="9268" width="4.75" style="30" customWidth="1"/>
    <col min="9269" max="9471" width="9" style="30"/>
    <col min="9472" max="9472" width="5" style="30" customWidth="1"/>
    <col min="9473" max="9473" width="12.625" style="30" customWidth="1"/>
    <col min="9474" max="9474" width="12" style="30" customWidth="1"/>
    <col min="9475" max="9475" width="16.875" style="30" customWidth="1"/>
    <col min="9476" max="9477" width="4.125" style="30" customWidth="1"/>
    <col min="9478" max="9508" width="2.875" style="30" customWidth="1"/>
    <col min="9509" max="9510" width="4.125" style="30" customWidth="1"/>
    <col min="9511" max="9511" width="9.875" style="30" customWidth="1"/>
    <col min="9512" max="9512" width="9" style="30"/>
    <col min="9513" max="9513" width="13.75" style="30" customWidth="1"/>
    <col min="9514" max="9514" width="8.75" style="30" customWidth="1"/>
    <col min="9515" max="9517" width="4.5" style="30" customWidth="1"/>
    <col min="9518" max="9518" width="4" style="30" customWidth="1"/>
    <col min="9519" max="9519" width="3.75" style="30" customWidth="1"/>
    <col min="9520" max="9520" width="4.125" style="30" customWidth="1"/>
    <col min="9521" max="9521" width="3.75" style="30" customWidth="1"/>
    <col min="9522" max="9522" width="4.25" style="30" customWidth="1"/>
    <col min="9523" max="9523" width="4" style="30" customWidth="1"/>
    <col min="9524" max="9524" width="4.75" style="30" customWidth="1"/>
    <col min="9525" max="9727" width="9" style="30"/>
    <col min="9728" max="9728" width="5" style="30" customWidth="1"/>
    <col min="9729" max="9729" width="12.625" style="30" customWidth="1"/>
    <col min="9730" max="9730" width="12" style="30" customWidth="1"/>
    <col min="9731" max="9731" width="16.875" style="30" customWidth="1"/>
    <col min="9732" max="9733" width="4.125" style="30" customWidth="1"/>
    <col min="9734" max="9764" width="2.875" style="30" customWidth="1"/>
    <col min="9765" max="9766" width="4.125" style="30" customWidth="1"/>
    <col min="9767" max="9767" width="9.875" style="30" customWidth="1"/>
    <col min="9768" max="9768" width="9" style="30"/>
    <col min="9769" max="9769" width="13.75" style="30" customWidth="1"/>
    <col min="9770" max="9770" width="8.75" style="30" customWidth="1"/>
    <col min="9771" max="9773" width="4.5" style="30" customWidth="1"/>
    <col min="9774" max="9774" width="4" style="30" customWidth="1"/>
    <col min="9775" max="9775" width="3.75" style="30" customWidth="1"/>
    <col min="9776" max="9776" width="4.125" style="30" customWidth="1"/>
    <col min="9777" max="9777" width="3.75" style="30" customWidth="1"/>
    <col min="9778" max="9778" width="4.25" style="30" customWidth="1"/>
    <col min="9779" max="9779" width="4" style="30" customWidth="1"/>
    <col min="9780" max="9780" width="4.75" style="30" customWidth="1"/>
    <col min="9781" max="9983" width="9" style="30"/>
    <col min="9984" max="9984" width="5" style="30" customWidth="1"/>
    <col min="9985" max="9985" width="12.625" style="30" customWidth="1"/>
    <col min="9986" max="9986" width="12" style="30" customWidth="1"/>
    <col min="9987" max="9987" width="16.875" style="30" customWidth="1"/>
    <col min="9988" max="9989" width="4.125" style="30" customWidth="1"/>
    <col min="9990" max="10020" width="2.875" style="30" customWidth="1"/>
    <col min="10021" max="10022" width="4.125" style="30" customWidth="1"/>
    <col min="10023" max="10023" width="9.875" style="30" customWidth="1"/>
    <col min="10024" max="10024" width="9" style="30"/>
    <col min="10025" max="10025" width="13.75" style="30" customWidth="1"/>
    <col min="10026" max="10026" width="8.75" style="30" customWidth="1"/>
    <col min="10027" max="10029" width="4.5" style="30" customWidth="1"/>
    <col min="10030" max="10030" width="4" style="30" customWidth="1"/>
    <col min="10031" max="10031" width="3.75" style="30" customWidth="1"/>
    <col min="10032" max="10032" width="4.125" style="30" customWidth="1"/>
    <col min="10033" max="10033" width="3.75" style="30" customWidth="1"/>
    <col min="10034" max="10034" width="4.25" style="30" customWidth="1"/>
    <col min="10035" max="10035" width="4" style="30" customWidth="1"/>
    <col min="10036" max="10036" width="4.75" style="30" customWidth="1"/>
    <col min="10037" max="10239" width="9" style="30"/>
    <col min="10240" max="10240" width="5" style="30" customWidth="1"/>
    <col min="10241" max="10241" width="12.625" style="30" customWidth="1"/>
    <col min="10242" max="10242" width="12" style="30" customWidth="1"/>
    <col min="10243" max="10243" width="16.875" style="30" customWidth="1"/>
    <col min="10244" max="10245" width="4.125" style="30" customWidth="1"/>
    <col min="10246" max="10276" width="2.875" style="30" customWidth="1"/>
    <col min="10277" max="10278" width="4.125" style="30" customWidth="1"/>
    <col min="10279" max="10279" width="9.875" style="30" customWidth="1"/>
    <col min="10280" max="10280" width="9" style="30"/>
    <col min="10281" max="10281" width="13.75" style="30" customWidth="1"/>
    <col min="10282" max="10282" width="8.75" style="30" customWidth="1"/>
    <col min="10283" max="10285" width="4.5" style="30" customWidth="1"/>
    <col min="10286" max="10286" width="4" style="30" customWidth="1"/>
    <col min="10287" max="10287" width="3.75" style="30" customWidth="1"/>
    <col min="10288" max="10288" width="4.125" style="30" customWidth="1"/>
    <col min="10289" max="10289" width="3.75" style="30" customWidth="1"/>
    <col min="10290" max="10290" width="4.25" style="30" customWidth="1"/>
    <col min="10291" max="10291" width="4" style="30" customWidth="1"/>
    <col min="10292" max="10292" width="4.75" style="30" customWidth="1"/>
    <col min="10293" max="10495" width="9" style="30"/>
    <col min="10496" max="10496" width="5" style="30" customWidth="1"/>
    <col min="10497" max="10497" width="12.625" style="30" customWidth="1"/>
    <col min="10498" max="10498" width="12" style="30" customWidth="1"/>
    <col min="10499" max="10499" width="16.875" style="30" customWidth="1"/>
    <col min="10500" max="10501" width="4.125" style="30" customWidth="1"/>
    <col min="10502" max="10532" width="2.875" style="30" customWidth="1"/>
    <col min="10533" max="10534" width="4.125" style="30" customWidth="1"/>
    <col min="10535" max="10535" width="9.875" style="30" customWidth="1"/>
    <col min="10536" max="10536" width="9" style="30"/>
    <col min="10537" max="10537" width="13.75" style="30" customWidth="1"/>
    <col min="10538" max="10538" width="8.75" style="30" customWidth="1"/>
    <col min="10539" max="10541" width="4.5" style="30" customWidth="1"/>
    <col min="10542" max="10542" width="4" style="30" customWidth="1"/>
    <col min="10543" max="10543" width="3.75" style="30" customWidth="1"/>
    <col min="10544" max="10544" width="4.125" style="30" customWidth="1"/>
    <col min="10545" max="10545" width="3.75" style="30" customWidth="1"/>
    <col min="10546" max="10546" width="4.25" style="30" customWidth="1"/>
    <col min="10547" max="10547" width="4" style="30" customWidth="1"/>
    <col min="10548" max="10548" width="4.75" style="30" customWidth="1"/>
    <col min="10549" max="10751" width="9" style="30"/>
    <col min="10752" max="10752" width="5" style="30" customWidth="1"/>
    <col min="10753" max="10753" width="12.625" style="30" customWidth="1"/>
    <col min="10754" max="10754" width="12" style="30" customWidth="1"/>
    <col min="10755" max="10755" width="16.875" style="30" customWidth="1"/>
    <col min="10756" max="10757" width="4.125" style="30" customWidth="1"/>
    <col min="10758" max="10788" width="2.875" style="30" customWidth="1"/>
    <col min="10789" max="10790" width="4.125" style="30" customWidth="1"/>
    <col min="10791" max="10791" width="9.875" style="30" customWidth="1"/>
    <col min="10792" max="10792" width="9" style="30"/>
    <col min="10793" max="10793" width="13.75" style="30" customWidth="1"/>
    <col min="10794" max="10794" width="8.75" style="30" customWidth="1"/>
    <col min="10795" max="10797" width="4.5" style="30" customWidth="1"/>
    <col min="10798" max="10798" width="4" style="30" customWidth="1"/>
    <col min="10799" max="10799" width="3.75" style="30" customWidth="1"/>
    <col min="10800" max="10800" width="4.125" style="30" customWidth="1"/>
    <col min="10801" max="10801" width="3.75" style="30" customWidth="1"/>
    <col min="10802" max="10802" width="4.25" style="30" customWidth="1"/>
    <col min="10803" max="10803" width="4" style="30" customWidth="1"/>
    <col min="10804" max="10804" width="4.75" style="30" customWidth="1"/>
    <col min="10805" max="11007" width="9" style="30"/>
    <col min="11008" max="11008" width="5" style="30" customWidth="1"/>
    <col min="11009" max="11009" width="12.625" style="30" customWidth="1"/>
    <col min="11010" max="11010" width="12" style="30" customWidth="1"/>
    <col min="11011" max="11011" width="16.875" style="30" customWidth="1"/>
    <col min="11012" max="11013" width="4.125" style="30" customWidth="1"/>
    <col min="11014" max="11044" width="2.875" style="30" customWidth="1"/>
    <col min="11045" max="11046" width="4.125" style="30" customWidth="1"/>
    <col min="11047" max="11047" width="9.875" style="30" customWidth="1"/>
    <col min="11048" max="11048" width="9" style="30"/>
    <col min="11049" max="11049" width="13.75" style="30" customWidth="1"/>
    <col min="11050" max="11050" width="8.75" style="30" customWidth="1"/>
    <col min="11051" max="11053" width="4.5" style="30" customWidth="1"/>
    <col min="11054" max="11054" width="4" style="30" customWidth="1"/>
    <col min="11055" max="11055" width="3.75" style="30" customWidth="1"/>
    <col min="11056" max="11056" width="4.125" style="30" customWidth="1"/>
    <col min="11057" max="11057" width="3.75" style="30" customWidth="1"/>
    <col min="11058" max="11058" width="4.25" style="30" customWidth="1"/>
    <col min="11059" max="11059" width="4" style="30" customWidth="1"/>
    <col min="11060" max="11060" width="4.75" style="30" customWidth="1"/>
    <col min="11061" max="11263" width="9" style="30"/>
    <col min="11264" max="11264" width="5" style="30" customWidth="1"/>
    <col min="11265" max="11265" width="12.625" style="30" customWidth="1"/>
    <col min="11266" max="11266" width="12" style="30" customWidth="1"/>
    <col min="11267" max="11267" width="16.875" style="30" customWidth="1"/>
    <col min="11268" max="11269" width="4.125" style="30" customWidth="1"/>
    <col min="11270" max="11300" width="2.875" style="30" customWidth="1"/>
    <col min="11301" max="11302" width="4.125" style="30" customWidth="1"/>
    <col min="11303" max="11303" width="9.875" style="30" customWidth="1"/>
    <col min="11304" max="11304" width="9" style="30"/>
    <col min="11305" max="11305" width="13.75" style="30" customWidth="1"/>
    <col min="11306" max="11306" width="8.75" style="30" customWidth="1"/>
    <col min="11307" max="11309" width="4.5" style="30" customWidth="1"/>
    <col min="11310" max="11310" width="4" style="30" customWidth="1"/>
    <col min="11311" max="11311" width="3.75" style="30" customWidth="1"/>
    <col min="11312" max="11312" width="4.125" style="30" customWidth="1"/>
    <col min="11313" max="11313" width="3.75" style="30" customWidth="1"/>
    <col min="11314" max="11314" width="4.25" style="30" customWidth="1"/>
    <col min="11315" max="11315" width="4" style="30" customWidth="1"/>
    <col min="11316" max="11316" width="4.75" style="30" customWidth="1"/>
    <col min="11317" max="11519" width="9" style="30"/>
    <col min="11520" max="11520" width="5" style="30" customWidth="1"/>
    <col min="11521" max="11521" width="12.625" style="30" customWidth="1"/>
    <col min="11522" max="11522" width="12" style="30" customWidth="1"/>
    <col min="11523" max="11523" width="16.875" style="30" customWidth="1"/>
    <col min="11524" max="11525" width="4.125" style="30" customWidth="1"/>
    <col min="11526" max="11556" width="2.875" style="30" customWidth="1"/>
    <col min="11557" max="11558" width="4.125" style="30" customWidth="1"/>
    <col min="11559" max="11559" width="9.875" style="30" customWidth="1"/>
    <col min="11560" max="11560" width="9" style="30"/>
    <col min="11561" max="11561" width="13.75" style="30" customWidth="1"/>
    <col min="11562" max="11562" width="8.75" style="30" customWidth="1"/>
    <col min="11563" max="11565" width="4.5" style="30" customWidth="1"/>
    <col min="11566" max="11566" width="4" style="30" customWidth="1"/>
    <col min="11567" max="11567" width="3.75" style="30" customWidth="1"/>
    <col min="11568" max="11568" width="4.125" style="30" customWidth="1"/>
    <col min="11569" max="11569" width="3.75" style="30" customWidth="1"/>
    <col min="11570" max="11570" width="4.25" style="30" customWidth="1"/>
    <col min="11571" max="11571" width="4" style="30" customWidth="1"/>
    <col min="11572" max="11572" width="4.75" style="30" customWidth="1"/>
    <col min="11573" max="11775" width="9" style="30"/>
    <col min="11776" max="11776" width="5" style="30" customWidth="1"/>
    <col min="11777" max="11777" width="12.625" style="30" customWidth="1"/>
    <col min="11778" max="11778" width="12" style="30" customWidth="1"/>
    <col min="11779" max="11779" width="16.875" style="30" customWidth="1"/>
    <col min="11780" max="11781" width="4.125" style="30" customWidth="1"/>
    <col min="11782" max="11812" width="2.875" style="30" customWidth="1"/>
    <col min="11813" max="11814" width="4.125" style="30" customWidth="1"/>
    <col min="11815" max="11815" width="9.875" style="30" customWidth="1"/>
    <col min="11816" max="11816" width="9" style="30"/>
    <col min="11817" max="11817" width="13.75" style="30" customWidth="1"/>
    <col min="11818" max="11818" width="8.75" style="30" customWidth="1"/>
    <col min="11819" max="11821" width="4.5" style="30" customWidth="1"/>
    <col min="11822" max="11822" width="4" style="30" customWidth="1"/>
    <col min="11823" max="11823" width="3.75" style="30" customWidth="1"/>
    <col min="11824" max="11824" width="4.125" style="30" customWidth="1"/>
    <col min="11825" max="11825" width="3.75" style="30" customWidth="1"/>
    <col min="11826" max="11826" width="4.25" style="30" customWidth="1"/>
    <col min="11827" max="11827" width="4" style="30" customWidth="1"/>
    <col min="11828" max="11828" width="4.75" style="30" customWidth="1"/>
    <col min="11829" max="12031" width="9" style="30"/>
    <col min="12032" max="12032" width="5" style="30" customWidth="1"/>
    <col min="12033" max="12033" width="12.625" style="30" customWidth="1"/>
    <col min="12034" max="12034" width="12" style="30" customWidth="1"/>
    <col min="12035" max="12035" width="16.875" style="30" customWidth="1"/>
    <col min="12036" max="12037" width="4.125" style="30" customWidth="1"/>
    <col min="12038" max="12068" width="2.875" style="30" customWidth="1"/>
    <col min="12069" max="12070" width="4.125" style="30" customWidth="1"/>
    <col min="12071" max="12071" width="9.875" style="30" customWidth="1"/>
    <col min="12072" max="12072" width="9" style="30"/>
    <col min="12073" max="12073" width="13.75" style="30" customWidth="1"/>
    <col min="12074" max="12074" width="8.75" style="30" customWidth="1"/>
    <col min="12075" max="12077" width="4.5" style="30" customWidth="1"/>
    <col min="12078" max="12078" width="4" style="30" customWidth="1"/>
    <col min="12079" max="12079" width="3.75" style="30" customWidth="1"/>
    <col min="12080" max="12080" width="4.125" style="30" customWidth="1"/>
    <col min="12081" max="12081" width="3.75" style="30" customWidth="1"/>
    <col min="12082" max="12082" width="4.25" style="30" customWidth="1"/>
    <col min="12083" max="12083" width="4" style="30" customWidth="1"/>
    <col min="12084" max="12084" width="4.75" style="30" customWidth="1"/>
    <col min="12085" max="12287" width="9" style="30"/>
    <col min="12288" max="12288" width="5" style="30" customWidth="1"/>
    <col min="12289" max="12289" width="12.625" style="30" customWidth="1"/>
    <col min="12290" max="12290" width="12" style="30" customWidth="1"/>
    <col min="12291" max="12291" width="16.875" style="30" customWidth="1"/>
    <col min="12292" max="12293" width="4.125" style="30" customWidth="1"/>
    <col min="12294" max="12324" width="2.875" style="30" customWidth="1"/>
    <col min="12325" max="12326" width="4.125" style="30" customWidth="1"/>
    <col min="12327" max="12327" width="9.875" style="30" customWidth="1"/>
    <col min="12328" max="12328" width="9" style="30"/>
    <col min="12329" max="12329" width="13.75" style="30" customWidth="1"/>
    <col min="12330" max="12330" width="8.75" style="30" customWidth="1"/>
    <col min="12331" max="12333" width="4.5" style="30" customWidth="1"/>
    <col min="12334" max="12334" width="4" style="30" customWidth="1"/>
    <col min="12335" max="12335" width="3.75" style="30" customWidth="1"/>
    <col min="12336" max="12336" width="4.125" style="30" customWidth="1"/>
    <col min="12337" max="12337" width="3.75" style="30" customWidth="1"/>
    <col min="12338" max="12338" width="4.25" style="30" customWidth="1"/>
    <col min="12339" max="12339" width="4" style="30" customWidth="1"/>
    <col min="12340" max="12340" width="4.75" style="30" customWidth="1"/>
    <col min="12341" max="12543" width="9" style="30"/>
    <col min="12544" max="12544" width="5" style="30" customWidth="1"/>
    <col min="12545" max="12545" width="12.625" style="30" customWidth="1"/>
    <col min="12546" max="12546" width="12" style="30" customWidth="1"/>
    <col min="12547" max="12547" width="16.875" style="30" customWidth="1"/>
    <col min="12548" max="12549" width="4.125" style="30" customWidth="1"/>
    <col min="12550" max="12580" width="2.875" style="30" customWidth="1"/>
    <col min="12581" max="12582" width="4.125" style="30" customWidth="1"/>
    <col min="12583" max="12583" width="9.875" style="30" customWidth="1"/>
    <col min="12584" max="12584" width="9" style="30"/>
    <col min="12585" max="12585" width="13.75" style="30" customWidth="1"/>
    <col min="12586" max="12586" width="8.75" style="30" customWidth="1"/>
    <col min="12587" max="12589" width="4.5" style="30" customWidth="1"/>
    <col min="12590" max="12590" width="4" style="30" customWidth="1"/>
    <col min="12591" max="12591" width="3.75" style="30" customWidth="1"/>
    <col min="12592" max="12592" width="4.125" style="30" customWidth="1"/>
    <col min="12593" max="12593" width="3.75" style="30" customWidth="1"/>
    <col min="12594" max="12594" width="4.25" style="30" customWidth="1"/>
    <col min="12595" max="12595" width="4" style="30" customWidth="1"/>
    <col min="12596" max="12596" width="4.75" style="30" customWidth="1"/>
    <col min="12597" max="12799" width="9" style="30"/>
    <col min="12800" max="12800" width="5" style="30" customWidth="1"/>
    <col min="12801" max="12801" width="12.625" style="30" customWidth="1"/>
    <col min="12802" max="12802" width="12" style="30" customWidth="1"/>
    <col min="12803" max="12803" width="16.875" style="30" customWidth="1"/>
    <col min="12804" max="12805" width="4.125" style="30" customWidth="1"/>
    <col min="12806" max="12836" width="2.875" style="30" customWidth="1"/>
    <col min="12837" max="12838" width="4.125" style="30" customWidth="1"/>
    <col min="12839" max="12839" width="9.875" style="30" customWidth="1"/>
    <col min="12840" max="12840" width="9" style="30"/>
    <col min="12841" max="12841" width="13.75" style="30" customWidth="1"/>
    <col min="12842" max="12842" width="8.75" style="30" customWidth="1"/>
    <col min="12843" max="12845" width="4.5" style="30" customWidth="1"/>
    <col min="12846" max="12846" width="4" style="30" customWidth="1"/>
    <col min="12847" max="12847" width="3.75" style="30" customWidth="1"/>
    <col min="12848" max="12848" width="4.125" style="30" customWidth="1"/>
    <col min="12849" max="12849" width="3.75" style="30" customWidth="1"/>
    <col min="12850" max="12850" width="4.25" style="30" customWidth="1"/>
    <col min="12851" max="12851" width="4" style="30" customWidth="1"/>
    <col min="12852" max="12852" width="4.75" style="30" customWidth="1"/>
    <col min="12853" max="13055" width="9" style="30"/>
    <col min="13056" max="13056" width="5" style="30" customWidth="1"/>
    <col min="13057" max="13057" width="12.625" style="30" customWidth="1"/>
    <col min="13058" max="13058" width="12" style="30" customWidth="1"/>
    <col min="13059" max="13059" width="16.875" style="30" customWidth="1"/>
    <col min="13060" max="13061" width="4.125" style="30" customWidth="1"/>
    <col min="13062" max="13092" width="2.875" style="30" customWidth="1"/>
    <col min="13093" max="13094" width="4.125" style="30" customWidth="1"/>
    <col min="13095" max="13095" width="9.875" style="30" customWidth="1"/>
    <col min="13096" max="13096" width="9" style="30"/>
    <col min="13097" max="13097" width="13.75" style="30" customWidth="1"/>
    <col min="13098" max="13098" width="8.75" style="30" customWidth="1"/>
    <col min="13099" max="13101" width="4.5" style="30" customWidth="1"/>
    <col min="13102" max="13102" width="4" style="30" customWidth="1"/>
    <col min="13103" max="13103" width="3.75" style="30" customWidth="1"/>
    <col min="13104" max="13104" width="4.125" style="30" customWidth="1"/>
    <col min="13105" max="13105" width="3.75" style="30" customWidth="1"/>
    <col min="13106" max="13106" width="4.25" style="30" customWidth="1"/>
    <col min="13107" max="13107" width="4" style="30" customWidth="1"/>
    <col min="13108" max="13108" width="4.75" style="30" customWidth="1"/>
    <col min="13109" max="13311" width="9" style="30"/>
    <col min="13312" max="13312" width="5" style="30" customWidth="1"/>
    <col min="13313" max="13313" width="12.625" style="30" customWidth="1"/>
    <col min="13314" max="13314" width="12" style="30" customWidth="1"/>
    <col min="13315" max="13315" width="16.875" style="30" customWidth="1"/>
    <col min="13316" max="13317" width="4.125" style="30" customWidth="1"/>
    <col min="13318" max="13348" width="2.875" style="30" customWidth="1"/>
    <col min="13349" max="13350" width="4.125" style="30" customWidth="1"/>
    <col min="13351" max="13351" width="9.875" style="30" customWidth="1"/>
    <col min="13352" max="13352" width="9" style="30"/>
    <col min="13353" max="13353" width="13.75" style="30" customWidth="1"/>
    <col min="13354" max="13354" width="8.75" style="30" customWidth="1"/>
    <col min="13355" max="13357" width="4.5" style="30" customWidth="1"/>
    <col min="13358" max="13358" width="4" style="30" customWidth="1"/>
    <col min="13359" max="13359" width="3.75" style="30" customWidth="1"/>
    <col min="13360" max="13360" width="4.125" style="30" customWidth="1"/>
    <col min="13361" max="13361" width="3.75" style="30" customWidth="1"/>
    <col min="13362" max="13362" width="4.25" style="30" customWidth="1"/>
    <col min="13363" max="13363" width="4" style="30" customWidth="1"/>
    <col min="13364" max="13364" width="4.75" style="30" customWidth="1"/>
    <col min="13365" max="13567" width="9" style="30"/>
    <col min="13568" max="13568" width="5" style="30" customWidth="1"/>
    <col min="13569" max="13569" width="12.625" style="30" customWidth="1"/>
    <col min="13570" max="13570" width="12" style="30" customWidth="1"/>
    <col min="13571" max="13571" width="16.875" style="30" customWidth="1"/>
    <col min="13572" max="13573" width="4.125" style="30" customWidth="1"/>
    <col min="13574" max="13604" width="2.875" style="30" customWidth="1"/>
    <col min="13605" max="13606" width="4.125" style="30" customWidth="1"/>
    <col min="13607" max="13607" width="9.875" style="30" customWidth="1"/>
    <col min="13608" max="13608" width="9" style="30"/>
    <col min="13609" max="13609" width="13.75" style="30" customWidth="1"/>
    <col min="13610" max="13610" width="8.75" style="30" customWidth="1"/>
    <col min="13611" max="13613" width="4.5" style="30" customWidth="1"/>
    <col min="13614" max="13614" width="4" style="30" customWidth="1"/>
    <col min="13615" max="13615" width="3.75" style="30" customWidth="1"/>
    <col min="13616" max="13616" width="4.125" style="30" customWidth="1"/>
    <col min="13617" max="13617" width="3.75" style="30" customWidth="1"/>
    <col min="13618" max="13618" width="4.25" style="30" customWidth="1"/>
    <col min="13619" max="13619" width="4" style="30" customWidth="1"/>
    <col min="13620" max="13620" width="4.75" style="30" customWidth="1"/>
    <col min="13621" max="13823" width="9" style="30"/>
    <col min="13824" max="13824" width="5" style="30" customWidth="1"/>
    <col min="13825" max="13825" width="12.625" style="30" customWidth="1"/>
    <col min="13826" max="13826" width="12" style="30" customWidth="1"/>
    <col min="13827" max="13827" width="16.875" style="30" customWidth="1"/>
    <col min="13828" max="13829" width="4.125" style="30" customWidth="1"/>
    <col min="13830" max="13860" width="2.875" style="30" customWidth="1"/>
    <col min="13861" max="13862" width="4.125" style="30" customWidth="1"/>
    <col min="13863" max="13863" width="9.875" style="30" customWidth="1"/>
    <col min="13864" max="13864" width="9" style="30"/>
    <col min="13865" max="13865" width="13.75" style="30" customWidth="1"/>
    <col min="13866" max="13866" width="8.75" style="30" customWidth="1"/>
    <col min="13867" max="13869" width="4.5" style="30" customWidth="1"/>
    <col min="13870" max="13870" width="4" style="30" customWidth="1"/>
    <col min="13871" max="13871" width="3.75" style="30" customWidth="1"/>
    <col min="13872" max="13872" width="4.125" style="30" customWidth="1"/>
    <col min="13873" max="13873" width="3.75" style="30" customWidth="1"/>
    <col min="13874" max="13874" width="4.25" style="30" customWidth="1"/>
    <col min="13875" max="13875" width="4" style="30" customWidth="1"/>
    <col min="13876" max="13876" width="4.75" style="30" customWidth="1"/>
    <col min="13877" max="14079" width="9" style="30"/>
    <col min="14080" max="14080" width="5" style="30" customWidth="1"/>
    <col min="14081" max="14081" width="12.625" style="30" customWidth="1"/>
    <col min="14082" max="14082" width="12" style="30" customWidth="1"/>
    <col min="14083" max="14083" width="16.875" style="30" customWidth="1"/>
    <col min="14084" max="14085" width="4.125" style="30" customWidth="1"/>
    <col min="14086" max="14116" width="2.875" style="30" customWidth="1"/>
    <col min="14117" max="14118" width="4.125" style="30" customWidth="1"/>
    <col min="14119" max="14119" width="9.875" style="30" customWidth="1"/>
    <col min="14120" max="14120" width="9" style="30"/>
    <col min="14121" max="14121" width="13.75" style="30" customWidth="1"/>
    <col min="14122" max="14122" width="8.75" style="30" customWidth="1"/>
    <col min="14123" max="14125" width="4.5" style="30" customWidth="1"/>
    <col min="14126" max="14126" width="4" style="30" customWidth="1"/>
    <col min="14127" max="14127" width="3.75" style="30" customWidth="1"/>
    <col min="14128" max="14128" width="4.125" style="30" customWidth="1"/>
    <col min="14129" max="14129" width="3.75" style="30" customWidth="1"/>
    <col min="14130" max="14130" width="4.25" style="30" customWidth="1"/>
    <col min="14131" max="14131" width="4" style="30" customWidth="1"/>
    <col min="14132" max="14132" width="4.75" style="30" customWidth="1"/>
    <col min="14133" max="14335" width="9" style="30"/>
    <col min="14336" max="14336" width="5" style="30" customWidth="1"/>
    <col min="14337" max="14337" width="12.625" style="30" customWidth="1"/>
    <col min="14338" max="14338" width="12" style="30" customWidth="1"/>
    <col min="14339" max="14339" width="16.875" style="30" customWidth="1"/>
    <col min="14340" max="14341" width="4.125" style="30" customWidth="1"/>
    <col min="14342" max="14372" width="2.875" style="30" customWidth="1"/>
    <col min="14373" max="14374" width="4.125" style="30" customWidth="1"/>
    <col min="14375" max="14375" width="9.875" style="30" customWidth="1"/>
    <col min="14376" max="14376" width="9" style="30"/>
    <col min="14377" max="14377" width="13.75" style="30" customWidth="1"/>
    <col min="14378" max="14378" width="8.75" style="30" customWidth="1"/>
    <col min="14379" max="14381" width="4.5" style="30" customWidth="1"/>
    <col min="14382" max="14382" width="4" style="30" customWidth="1"/>
    <col min="14383" max="14383" width="3.75" style="30" customWidth="1"/>
    <col min="14384" max="14384" width="4.125" style="30" customWidth="1"/>
    <col min="14385" max="14385" width="3.75" style="30" customWidth="1"/>
    <col min="14386" max="14386" width="4.25" style="30" customWidth="1"/>
    <col min="14387" max="14387" width="4" style="30" customWidth="1"/>
    <col min="14388" max="14388" width="4.75" style="30" customWidth="1"/>
    <col min="14389" max="14591" width="9" style="30"/>
    <col min="14592" max="14592" width="5" style="30" customWidth="1"/>
    <col min="14593" max="14593" width="12.625" style="30" customWidth="1"/>
    <col min="14594" max="14594" width="12" style="30" customWidth="1"/>
    <col min="14595" max="14595" width="16.875" style="30" customWidth="1"/>
    <col min="14596" max="14597" width="4.125" style="30" customWidth="1"/>
    <col min="14598" max="14628" width="2.875" style="30" customWidth="1"/>
    <col min="14629" max="14630" width="4.125" style="30" customWidth="1"/>
    <col min="14631" max="14631" width="9.875" style="30" customWidth="1"/>
    <col min="14632" max="14632" width="9" style="30"/>
    <col min="14633" max="14633" width="13.75" style="30" customWidth="1"/>
    <col min="14634" max="14634" width="8.75" style="30" customWidth="1"/>
    <col min="14635" max="14637" width="4.5" style="30" customWidth="1"/>
    <col min="14638" max="14638" width="4" style="30" customWidth="1"/>
    <col min="14639" max="14639" width="3.75" style="30" customWidth="1"/>
    <col min="14640" max="14640" width="4.125" style="30" customWidth="1"/>
    <col min="14641" max="14641" width="3.75" style="30" customWidth="1"/>
    <col min="14642" max="14642" width="4.25" style="30" customWidth="1"/>
    <col min="14643" max="14643" width="4" style="30" customWidth="1"/>
    <col min="14644" max="14644" width="4.75" style="30" customWidth="1"/>
    <col min="14645" max="14847" width="9" style="30"/>
    <col min="14848" max="14848" width="5" style="30" customWidth="1"/>
    <col min="14849" max="14849" width="12.625" style="30" customWidth="1"/>
    <col min="14850" max="14850" width="12" style="30" customWidth="1"/>
    <col min="14851" max="14851" width="16.875" style="30" customWidth="1"/>
    <col min="14852" max="14853" width="4.125" style="30" customWidth="1"/>
    <col min="14854" max="14884" width="2.875" style="30" customWidth="1"/>
    <col min="14885" max="14886" width="4.125" style="30" customWidth="1"/>
    <col min="14887" max="14887" width="9.875" style="30" customWidth="1"/>
    <col min="14888" max="14888" width="9" style="30"/>
    <col min="14889" max="14889" width="13.75" style="30" customWidth="1"/>
    <col min="14890" max="14890" width="8.75" style="30" customWidth="1"/>
    <col min="14891" max="14893" width="4.5" style="30" customWidth="1"/>
    <col min="14894" max="14894" width="4" style="30" customWidth="1"/>
    <col min="14895" max="14895" width="3.75" style="30" customWidth="1"/>
    <col min="14896" max="14896" width="4.125" style="30" customWidth="1"/>
    <col min="14897" max="14897" width="3.75" style="30" customWidth="1"/>
    <col min="14898" max="14898" width="4.25" style="30" customWidth="1"/>
    <col min="14899" max="14899" width="4" style="30" customWidth="1"/>
    <col min="14900" max="14900" width="4.75" style="30" customWidth="1"/>
    <col min="14901" max="15103" width="9" style="30"/>
    <col min="15104" max="15104" width="5" style="30" customWidth="1"/>
    <col min="15105" max="15105" width="12.625" style="30" customWidth="1"/>
    <col min="15106" max="15106" width="12" style="30" customWidth="1"/>
    <col min="15107" max="15107" width="16.875" style="30" customWidth="1"/>
    <col min="15108" max="15109" width="4.125" style="30" customWidth="1"/>
    <col min="15110" max="15140" width="2.875" style="30" customWidth="1"/>
    <col min="15141" max="15142" width="4.125" style="30" customWidth="1"/>
    <col min="15143" max="15143" width="9.875" style="30" customWidth="1"/>
    <col min="15144" max="15144" width="9" style="30"/>
    <col min="15145" max="15145" width="13.75" style="30" customWidth="1"/>
    <col min="15146" max="15146" width="8.75" style="30" customWidth="1"/>
    <col min="15147" max="15149" width="4.5" style="30" customWidth="1"/>
    <col min="15150" max="15150" width="4" style="30" customWidth="1"/>
    <col min="15151" max="15151" width="3.75" style="30" customWidth="1"/>
    <col min="15152" max="15152" width="4.125" style="30" customWidth="1"/>
    <col min="15153" max="15153" width="3.75" style="30" customWidth="1"/>
    <col min="15154" max="15154" width="4.25" style="30" customWidth="1"/>
    <col min="15155" max="15155" width="4" style="30" customWidth="1"/>
    <col min="15156" max="15156" width="4.75" style="30" customWidth="1"/>
    <col min="15157" max="15359" width="9" style="30"/>
    <col min="15360" max="15360" width="5" style="30" customWidth="1"/>
    <col min="15361" max="15361" width="12.625" style="30" customWidth="1"/>
    <col min="15362" max="15362" width="12" style="30" customWidth="1"/>
    <col min="15363" max="15363" width="16.875" style="30" customWidth="1"/>
    <col min="15364" max="15365" width="4.125" style="30" customWidth="1"/>
    <col min="15366" max="15396" width="2.875" style="30" customWidth="1"/>
    <col min="15397" max="15398" width="4.125" style="30" customWidth="1"/>
    <col min="15399" max="15399" width="9.875" style="30" customWidth="1"/>
    <col min="15400" max="15400" width="9" style="30"/>
    <col min="15401" max="15401" width="13.75" style="30" customWidth="1"/>
    <col min="15402" max="15402" width="8.75" style="30" customWidth="1"/>
    <col min="15403" max="15405" width="4.5" style="30" customWidth="1"/>
    <col min="15406" max="15406" width="4" style="30" customWidth="1"/>
    <col min="15407" max="15407" width="3.75" style="30" customWidth="1"/>
    <col min="15408" max="15408" width="4.125" style="30" customWidth="1"/>
    <col min="15409" max="15409" width="3.75" style="30" customWidth="1"/>
    <col min="15410" max="15410" width="4.25" style="30" customWidth="1"/>
    <col min="15411" max="15411" width="4" style="30" customWidth="1"/>
    <col min="15412" max="15412" width="4.75" style="30" customWidth="1"/>
    <col min="15413" max="15615" width="9" style="30"/>
    <col min="15616" max="15616" width="5" style="30" customWidth="1"/>
    <col min="15617" max="15617" width="12.625" style="30" customWidth="1"/>
    <col min="15618" max="15618" width="12" style="30" customWidth="1"/>
    <col min="15619" max="15619" width="16.875" style="30" customWidth="1"/>
    <col min="15620" max="15621" width="4.125" style="30" customWidth="1"/>
    <col min="15622" max="15652" width="2.875" style="30" customWidth="1"/>
    <col min="15653" max="15654" width="4.125" style="30" customWidth="1"/>
    <col min="15655" max="15655" width="9.875" style="30" customWidth="1"/>
    <col min="15656" max="15656" width="9" style="30"/>
    <col min="15657" max="15657" width="13.75" style="30" customWidth="1"/>
    <col min="15658" max="15658" width="8.75" style="30" customWidth="1"/>
    <col min="15659" max="15661" width="4.5" style="30" customWidth="1"/>
    <col min="15662" max="15662" width="4" style="30" customWidth="1"/>
    <col min="15663" max="15663" width="3.75" style="30" customWidth="1"/>
    <col min="15664" max="15664" width="4.125" style="30" customWidth="1"/>
    <col min="15665" max="15665" width="3.75" style="30" customWidth="1"/>
    <col min="15666" max="15666" width="4.25" style="30" customWidth="1"/>
    <col min="15667" max="15667" width="4" style="30" customWidth="1"/>
    <col min="15668" max="15668" width="4.75" style="30" customWidth="1"/>
    <col min="15669" max="15871" width="9" style="30"/>
    <col min="15872" max="15872" width="5" style="30" customWidth="1"/>
    <col min="15873" max="15873" width="12.625" style="30" customWidth="1"/>
    <col min="15874" max="15874" width="12" style="30" customWidth="1"/>
    <col min="15875" max="15875" width="16.875" style="30" customWidth="1"/>
    <col min="15876" max="15877" width="4.125" style="30" customWidth="1"/>
    <col min="15878" max="15908" width="2.875" style="30" customWidth="1"/>
    <col min="15909" max="15910" width="4.125" style="30" customWidth="1"/>
    <col min="15911" max="15911" width="9.875" style="30" customWidth="1"/>
    <col min="15912" max="15912" width="9" style="30"/>
    <col min="15913" max="15913" width="13.75" style="30" customWidth="1"/>
    <col min="15914" max="15914" width="8.75" style="30" customWidth="1"/>
    <col min="15915" max="15917" width="4.5" style="30" customWidth="1"/>
    <col min="15918" max="15918" width="4" style="30" customWidth="1"/>
    <col min="15919" max="15919" width="3.75" style="30" customWidth="1"/>
    <col min="15920" max="15920" width="4.125" style="30" customWidth="1"/>
    <col min="15921" max="15921" width="3.75" style="30" customWidth="1"/>
    <col min="15922" max="15922" width="4.25" style="30" customWidth="1"/>
    <col min="15923" max="15923" width="4" style="30" customWidth="1"/>
    <col min="15924" max="15924" width="4.75" style="30" customWidth="1"/>
    <col min="15925" max="16127" width="9" style="30"/>
    <col min="16128" max="16128" width="5" style="30" customWidth="1"/>
    <col min="16129" max="16129" width="12.625" style="30" customWidth="1"/>
    <col min="16130" max="16130" width="12" style="30" customWidth="1"/>
    <col min="16131" max="16131" width="16.875" style="30" customWidth="1"/>
    <col min="16132" max="16133" width="4.125" style="30" customWidth="1"/>
    <col min="16134" max="16164" width="2.875" style="30" customWidth="1"/>
    <col min="16165" max="16166" width="4.125" style="30" customWidth="1"/>
    <col min="16167" max="16167" width="9.875" style="30" customWidth="1"/>
    <col min="16168" max="16168" width="9" style="30"/>
    <col min="16169" max="16169" width="13.75" style="30" customWidth="1"/>
    <col min="16170" max="16170" width="8.75" style="30" customWidth="1"/>
    <col min="16171" max="16173" width="4.5" style="30" customWidth="1"/>
    <col min="16174" max="16174" width="4" style="30" customWidth="1"/>
    <col min="16175" max="16175" width="3.75" style="30" customWidth="1"/>
    <col min="16176" max="16176" width="4.125" style="30" customWidth="1"/>
    <col min="16177" max="16177" width="3.75" style="30" customWidth="1"/>
    <col min="16178" max="16178" width="4.25" style="30" customWidth="1"/>
    <col min="16179" max="16179" width="4" style="30" customWidth="1"/>
    <col min="16180" max="16180" width="4.75" style="30" customWidth="1"/>
    <col min="16181" max="16384" width="9" style="30"/>
  </cols>
  <sheetData>
    <row r="1" spans="1:52" ht="30" customHeight="1" x14ac:dyDescent="0.45">
      <c r="A1" s="254" t="s">
        <v>61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W1" s="255" t="s">
        <v>33</v>
      </c>
      <c r="AX1" s="255"/>
      <c r="AY1" s="255"/>
      <c r="AZ1" s="255"/>
    </row>
    <row r="2" spans="1:52" s="31" customFormat="1" ht="20.45" customHeight="1" x14ac:dyDescent="0.5">
      <c r="A2" s="248" t="s">
        <v>109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Q2" s="30"/>
      <c r="AR2" s="30"/>
      <c r="AS2" s="30"/>
      <c r="AT2" s="30"/>
      <c r="AU2" s="30"/>
      <c r="AV2" s="30" t="s">
        <v>34</v>
      </c>
      <c r="AW2" s="32" t="s">
        <v>35</v>
      </c>
      <c r="AX2" s="32" t="s">
        <v>16</v>
      </c>
      <c r="AY2" s="32" t="s">
        <v>36</v>
      </c>
      <c r="AZ2" s="32" t="s">
        <v>14</v>
      </c>
    </row>
    <row r="3" spans="1:52" ht="20.45" customHeight="1" x14ac:dyDescent="0.45">
      <c r="A3" s="256" t="s">
        <v>37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W3" s="33">
        <f>AW11</f>
        <v>9</v>
      </c>
      <c r="AX3" s="33">
        <f>AX11</f>
        <v>8</v>
      </c>
      <c r="AY3" s="33">
        <f>AY11</f>
        <v>6</v>
      </c>
      <c r="AZ3" s="33">
        <f>AZ11</f>
        <v>0</v>
      </c>
    </row>
    <row r="4" spans="1:52" s="35" customFormat="1" ht="20.45" customHeight="1" x14ac:dyDescent="0.2">
      <c r="A4" s="222" t="s">
        <v>38</v>
      </c>
      <c r="B4" s="236" t="s">
        <v>39</v>
      </c>
      <c r="C4" s="237"/>
      <c r="D4" s="28" t="s">
        <v>2</v>
      </c>
      <c r="E4" s="222" t="s">
        <v>40</v>
      </c>
      <c r="F4" s="257" t="s">
        <v>41</v>
      </c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8" t="s">
        <v>42</v>
      </c>
      <c r="AL4" s="259"/>
      <c r="AM4" s="23" t="s">
        <v>43</v>
      </c>
      <c r="AN4" s="23" t="s">
        <v>44</v>
      </c>
      <c r="AO4" s="23" t="s">
        <v>45</v>
      </c>
      <c r="AQ4" s="36" t="s">
        <v>35</v>
      </c>
      <c r="AR4" s="36" t="s">
        <v>46</v>
      </c>
      <c r="AS4" s="36" t="s">
        <v>16</v>
      </c>
      <c r="AT4" s="36" t="s">
        <v>47</v>
      </c>
      <c r="AU4" s="36" t="s">
        <v>36</v>
      </c>
      <c r="AV4" s="37" t="s">
        <v>14</v>
      </c>
      <c r="AW4" s="260" t="s">
        <v>48</v>
      </c>
      <c r="AX4" s="261"/>
      <c r="AY4" s="261"/>
      <c r="AZ4" s="262"/>
    </row>
    <row r="5" spans="1:52" s="35" customFormat="1" ht="20.45" customHeight="1" x14ac:dyDescent="0.2">
      <c r="A5" s="224"/>
      <c r="B5" s="26"/>
      <c r="C5" s="38"/>
      <c r="D5" s="29"/>
      <c r="E5" s="224"/>
      <c r="F5" s="39">
        <v>1</v>
      </c>
      <c r="G5" s="40">
        <v>2</v>
      </c>
      <c r="H5" s="41">
        <v>3</v>
      </c>
      <c r="I5" s="41">
        <v>4</v>
      </c>
      <c r="J5" s="42">
        <v>5</v>
      </c>
      <c r="K5" s="127">
        <v>6</v>
      </c>
      <c r="L5" s="128">
        <v>7</v>
      </c>
      <c r="M5" s="44">
        <v>8</v>
      </c>
      <c r="N5" s="43">
        <v>9</v>
      </c>
      <c r="O5" s="45">
        <v>10</v>
      </c>
      <c r="P5" s="44">
        <v>11</v>
      </c>
      <c r="Q5" s="43">
        <v>12</v>
      </c>
      <c r="R5" s="135">
        <v>13</v>
      </c>
      <c r="S5" s="127">
        <v>14</v>
      </c>
      <c r="T5" s="43">
        <v>15</v>
      </c>
      <c r="U5" s="43">
        <v>16</v>
      </c>
      <c r="V5" s="46">
        <v>17</v>
      </c>
      <c r="W5" s="45">
        <v>18</v>
      </c>
      <c r="X5" s="44">
        <v>19</v>
      </c>
      <c r="Y5" s="127">
        <v>20</v>
      </c>
      <c r="Z5" s="136">
        <v>21</v>
      </c>
      <c r="AA5" s="137">
        <v>22</v>
      </c>
      <c r="AB5" s="43">
        <v>23</v>
      </c>
      <c r="AC5" s="44">
        <v>24</v>
      </c>
      <c r="AD5" s="44">
        <v>25</v>
      </c>
      <c r="AE5" s="44">
        <v>26</v>
      </c>
      <c r="AF5" s="127">
        <v>27</v>
      </c>
      <c r="AG5" s="136">
        <v>28</v>
      </c>
      <c r="AH5" s="137">
        <v>29</v>
      </c>
      <c r="AI5" s="40">
        <v>30</v>
      </c>
      <c r="AJ5" s="47">
        <v>31</v>
      </c>
      <c r="AK5" s="153"/>
      <c r="AL5" s="48" t="s">
        <v>14</v>
      </c>
      <c r="AM5" s="24" t="s">
        <v>49</v>
      </c>
      <c r="AN5" s="24" t="s">
        <v>50</v>
      </c>
      <c r="AO5" s="24" t="s">
        <v>51</v>
      </c>
      <c r="AQ5" s="49"/>
      <c r="AR5" s="49"/>
      <c r="AS5" s="49"/>
      <c r="AT5" s="49"/>
      <c r="AU5" s="49"/>
      <c r="AV5" s="49"/>
      <c r="AW5" s="50" t="s">
        <v>35</v>
      </c>
      <c r="AX5" s="50" t="s">
        <v>16</v>
      </c>
      <c r="AY5" s="50" t="s">
        <v>36</v>
      </c>
      <c r="AZ5" s="50" t="s">
        <v>14</v>
      </c>
    </row>
    <row r="6" spans="1:52" s="64" customFormat="1" ht="20.45" customHeight="1" x14ac:dyDescent="0.2">
      <c r="A6" s="51">
        <v>1</v>
      </c>
      <c r="B6" s="52" t="s">
        <v>25</v>
      </c>
      <c r="C6" s="53" t="s">
        <v>26</v>
      </c>
      <c r="D6" s="54" t="s">
        <v>107</v>
      </c>
      <c r="E6" s="124">
        <v>720</v>
      </c>
      <c r="F6" s="56"/>
      <c r="G6" s="57"/>
      <c r="H6" s="58" t="s">
        <v>36</v>
      </c>
      <c r="I6" s="58"/>
      <c r="J6" s="58"/>
      <c r="K6" s="129" t="s">
        <v>16</v>
      </c>
      <c r="L6" s="130" t="s">
        <v>35</v>
      </c>
      <c r="M6" s="58"/>
      <c r="N6" s="58"/>
      <c r="O6" s="57"/>
      <c r="P6" s="58"/>
      <c r="Q6" s="58"/>
      <c r="R6" s="129" t="s">
        <v>35</v>
      </c>
      <c r="S6" s="130" t="s">
        <v>16</v>
      </c>
      <c r="T6" s="58"/>
      <c r="U6" s="59"/>
      <c r="V6" s="57" t="s">
        <v>36</v>
      </c>
      <c r="W6" s="57"/>
      <c r="X6" s="58"/>
      <c r="Y6" s="130"/>
      <c r="Z6" s="129" t="s">
        <v>16</v>
      </c>
      <c r="AA6" s="130" t="s">
        <v>35</v>
      </c>
      <c r="AB6" s="57"/>
      <c r="AC6" s="58"/>
      <c r="AD6" s="58"/>
      <c r="AE6" s="58" t="s">
        <v>36</v>
      </c>
      <c r="AF6" s="130" t="s">
        <v>35</v>
      </c>
      <c r="AG6" s="129" t="s">
        <v>35</v>
      </c>
      <c r="AH6" s="130"/>
      <c r="AI6" s="58"/>
      <c r="AJ6" s="60"/>
      <c r="AK6" s="61">
        <f>SUM(AW6+AX6+AY6)</f>
        <v>11</v>
      </c>
      <c r="AL6" s="61">
        <f>SUM(AZ6)</f>
        <v>0</v>
      </c>
      <c r="AM6" s="62">
        <f>SUM($AK6*$E6)</f>
        <v>7920</v>
      </c>
      <c r="AN6" s="63"/>
      <c r="AO6" s="125" t="s">
        <v>63</v>
      </c>
      <c r="AQ6" s="65">
        <f>COUNTIF(F6:AJ6,"ด")</f>
        <v>5</v>
      </c>
      <c r="AR6" s="65">
        <f>COUNTIF(F6:AJ6,"ด/บ")</f>
        <v>0</v>
      </c>
      <c r="AS6" s="65">
        <f>COUNTIF(F6:AJ6,"ช")</f>
        <v>3</v>
      </c>
      <c r="AT6" s="65">
        <f>COUNTIF(F6:AJ6,"ช/บ")</f>
        <v>0</v>
      </c>
      <c r="AU6" s="65">
        <f>COUNTIF(F6:AJ6,"บ")</f>
        <v>3</v>
      </c>
      <c r="AV6" s="65">
        <f>COUNTIF(F6:AJ6,"BD")</f>
        <v>0</v>
      </c>
      <c r="AW6" s="66">
        <f t="shared" ref="AW6:AW7" si="0">AQ6+AR6</f>
        <v>5</v>
      </c>
      <c r="AX6" s="66">
        <f t="shared" ref="AX6:AX7" si="1">AS6+AT6</f>
        <v>3</v>
      </c>
      <c r="AY6" s="66">
        <f t="shared" ref="AY6:AY7" si="2">AR6+AT6+AU6</f>
        <v>3</v>
      </c>
      <c r="AZ6" s="66">
        <f>AV6</f>
        <v>0</v>
      </c>
    </row>
    <row r="7" spans="1:52" s="64" customFormat="1" ht="20.45" customHeight="1" x14ac:dyDescent="0.2">
      <c r="A7" s="67">
        <v>2</v>
      </c>
      <c r="B7" s="68" t="s">
        <v>27</v>
      </c>
      <c r="C7" s="69" t="s">
        <v>28</v>
      </c>
      <c r="D7" s="70" t="s">
        <v>108</v>
      </c>
      <c r="E7" s="71">
        <v>430</v>
      </c>
      <c r="F7" s="72"/>
      <c r="G7" s="73"/>
      <c r="H7" s="74"/>
      <c r="I7" s="74" t="s">
        <v>36</v>
      </c>
      <c r="J7" s="74"/>
      <c r="K7" s="131" t="s">
        <v>35</v>
      </c>
      <c r="L7" s="132" t="s">
        <v>16</v>
      </c>
      <c r="M7" s="75"/>
      <c r="N7" s="74"/>
      <c r="O7" s="73" t="s">
        <v>36</v>
      </c>
      <c r="P7" s="74"/>
      <c r="Q7" s="74"/>
      <c r="R7" s="131" t="s">
        <v>16</v>
      </c>
      <c r="S7" s="132" t="s">
        <v>35</v>
      </c>
      <c r="T7" s="74"/>
      <c r="U7" s="74"/>
      <c r="V7" s="73"/>
      <c r="W7" s="73"/>
      <c r="X7" s="74"/>
      <c r="Y7" s="132" t="s">
        <v>35</v>
      </c>
      <c r="Z7" s="131"/>
      <c r="AA7" s="132" t="s">
        <v>16</v>
      </c>
      <c r="AB7" s="73"/>
      <c r="AC7" s="74" t="s">
        <v>36</v>
      </c>
      <c r="AD7" s="74"/>
      <c r="AE7" s="74" t="s">
        <v>16</v>
      </c>
      <c r="AF7" s="132"/>
      <c r="AG7" s="131" t="s">
        <v>16</v>
      </c>
      <c r="AH7" s="132" t="s">
        <v>35</v>
      </c>
      <c r="AI7" s="74"/>
      <c r="AJ7" s="76"/>
      <c r="AK7" s="61">
        <f>SUM(AW7+AX7+AY7)</f>
        <v>12</v>
      </c>
      <c r="AL7" s="61">
        <f>SUM(AZ7)</f>
        <v>0</v>
      </c>
      <c r="AM7" s="62">
        <f>SUM($AK7*$E7)</f>
        <v>5160</v>
      </c>
      <c r="AN7" s="77"/>
      <c r="AO7" s="126" t="s">
        <v>63</v>
      </c>
      <c r="AQ7" s="65">
        <f>COUNTIF(F7:AJ7,"ด")</f>
        <v>4</v>
      </c>
      <c r="AR7" s="65">
        <f>COUNTIF(F7:AJ7,"ด/บ")</f>
        <v>0</v>
      </c>
      <c r="AS7" s="65">
        <f>COUNTIF(F7:AJ7,"ช")</f>
        <v>5</v>
      </c>
      <c r="AT7" s="65">
        <f>COUNTIF(F7:AJ7,"ช/บ")</f>
        <v>0</v>
      </c>
      <c r="AU7" s="65">
        <f>COUNTIF(F7:AJ7,"บ")</f>
        <v>3</v>
      </c>
      <c r="AV7" s="65">
        <f>COUNTIF(F7:AJ7,"BD")</f>
        <v>0</v>
      </c>
      <c r="AW7" s="66">
        <f t="shared" si="0"/>
        <v>4</v>
      </c>
      <c r="AX7" s="66">
        <f t="shared" si="1"/>
        <v>5</v>
      </c>
      <c r="AY7" s="66">
        <f t="shared" si="2"/>
        <v>3</v>
      </c>
      <c r="AZ7" s="66">
        <f t="shared" ref="AZ7:AZ8" si="3">AV7</f>
        <v>0</v>
      </c>
    </row>
    <row r="8" spans="1:52" s="64" customFormat="1" ht="20.45" customHeight="1" x14ac:dyDescent="0.2">
      <c r="A8" s="71"/>
      <c r="B8" s="78"/>
      <c r="C8" s="78"/>
      <c r="D8" s="79"/>
      <c r="E8" s="71"/>
      <c r="F8" s="80"/>
      <c r="G8" s="81"/>
      <c r="H8" s="82"/>
      <c r="I8" s="82"/>
      <c r="J8" s="82"/>
      <c r="K8" s="133"/>
      <c r="L8" s="134"/>
      <c r="M8" s="82"/>
      <c r="N8" s="82"/>
      <c r="O8" s="81"/>
      <c r="P8" s="82"/>
      <c r="Q8" s="82"/>
      <c r="R8" s="133"/>
      <c r="S8" s="134"/>
      <c r="T8" s="82"/>
      <c r="U8" s="82"/>
      <c r="V8" s="81"/>
      <c r="W8" s="81"/>
      <c r="X8" s="82"/>
      <c r="Y8" s="134"/>
      <c r="Z8" s="133"/>
      <c r="AA8" s="134"/>
      <c r="AB8" s="81"/>
      <c r="AC8" s="82"/>
      <c r="AD8" s="82"/>
      <c r="AE8" s="82"/>
      <c r="AF8" s="134"/>
      <c r="AG8" s="133"/>
      <c r="AH8" s="134"/>
      <c r="AI8" s="82"/>
      <c r="AJ8" s="83"/>
      <c r="AK8" s="84"/>
      <c r="AL8" s="84"/>
      <c r="AM8" s="85"/>
      <c r="AN8" s="71"/>
      <c r="AO8" s="86"/>
      <c r="AQ8" s="65">
        <f>COUNTIF(F8:AJ8,"ด")</f>
        <v>0</v>
      </c>
      <c r="AR8" s="65">
        <f>COUNTIF(F8:AJ8,"ด/บ")</f>
        <v>0</v>
      </c>
      <c r="AS8" s="65">
        <f>COUNTIF(F8:AJ8,"ช")</f>
        <v>0</v>
      </c>
      <c r="AT8" s="65">
        <f>COUNTIF(F8:AJ8,"ช/บ")</f>
        <v>0</v>
      </c>
      <c r="AU8" s="65">
        <f>COUNTIF(F8:AJ8,"บ")</f>
        <v>0</v>
      </c>
      <c r="AV8" s="65">
        <f>COUNTIF(F8:AJ8,"BD")</f>
        <v>0</v>
      </c>
      <c r="AW8" s="66">
        <f>AQ8+AR8</f>
        <v>0</v>
      </c>
      <c r="AX8" s="66">
        <f>AS8+AT8</f>
        <v>0</v>
      </c>
      <c r="AY8" s="66">
        <f>AR8+AT8+AU8</f>
        <v>0</v>
      </c>
      <c r="AZ8" s="66">
        <f t="shared" si="3"/>
        <v>0</v>
      </c>
    </row>
    <row r="9" spans="1:52" ht="20.45" customHeight="1" x14ac:dyDescent="0.45">
      <c r="A9" s="87"/>
      <c r="B9" s="88"/>
      <c r="C9" s="88"/>
      <c r="D9" s="89"/>
      <c r="E9" s="90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263" t="s">
        <v>52</v>
      </c>
      <c r="AG9" s="263"/>
      <c r="AH9" s="263"/>
      <c r="AI9" s="263"/>
      <c r="AJ9" s="237"/>
      <c r="AK9" s="93">
        <f>SUM(AK6:AK8)</f>
        <v>23</v>
      </c>
      <c r="AL9" s="93">
        <f>SUM(AL6:AL8)</f>
        <v>0</v>
      </c>
      <c r="AM9" s="94">
        <f>SUM(AM6:AM8)</f>
        <v>13080</v>
      </c>
      <c r="AN9" s="95"/>
      <c r="AO9" s="96"/>
      <c r="AQ9" s="97"/>
      <c r="AR9" s="97"/>
      <c r="AS9" s="97"/>
      <c r="AT9" s="97"/>
      <c r="AU9" s="97"/>
      <c r="AV9" s="97"/>
      <c r="AW9" s="98"/>
      <c r="AX9" s="98"/>
      <c r="AY9" s="98"/>
      <c r="AZ9" s="98"/>
    </row>
    <row r="10" spans="1:52" ht="13.5" customHeight="1" x14ac:dyDescent="0.45">
      <c r="A10" s="99"/>
      <c r="B10" s="100"/>
      <c r="C10" s="100"/>
      <c r="D10" s="101"/>
      <c r="E10" s="99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3"/>
      <c r="AK10" s="104"/>
      <c r="AL10" s="104"/>
      <c r="AM10" s="105"/>
      <c r="AN10" s="99"/>
      <c r="AO10" s="14"/>
      <c r="AQ10" s="106"/>
      <c r="AR10" s="106"/>
      <c r="AS10" s="106"/>
      <c r="AT10" s="106"/>
      <c r="AU10" s="106"/>
      <c r="AV10" s="106"/>
      <c r="AW10" s="107"/>
      <c r="AX10" s="107"/>
      <c r="AY10" s="107"/>
      <c r="AZ10" s="107"/>
    </row>
    <row r="11" spans="1:52" ht="24.75" customHeight="1" x14ac:dyDescent="0.45">
      <c r="A11" s="119"/>
      <c r="B11" s="119"/>
      <c r="C11" s="119"/>
      <c r="D11" s="113" t="s">
        <v>90</v>
      </c>
      <c r="E11" s="271">
        <f>+AM9</f>
        <v>13080</v>
      </c>
      <c r="F11" s="271"/>
      <c r="G11" s="271"/>
      <c r="H11" s="155" t="s">
        <v>91</v>
      </c>
      <c r="I11" s="154"/>
      <c r="J11" s="119" t="s">
        <v>92</v>
      </c>
      <c r="K11" s="119"/>
      <c r="L11" s="119"/>
      <c r="M11" s="119"/>
      <c r="N11" s="119"/>
      <c r="O11" s="119"/>
      <c r="P11" s="264" t="str">
        <f>"("&amp;BAHTTEXT(AM9)&amp;")"</f>
        <v>(หนึ่งหมื่นสามพันแปดสิบบาทถ้วน)</v>
      </c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120"/>
      <c r="AF11" s="120"/>
      <c r="AG11" s="120"/>
      <c r="AH11" s="120"/>
      <c r="AI11" s="120"/>
      <c r="AJ11" s="120"/>
      <c r="AK11" s="108"/>
      <c r="AL11" s="108"/>
      <c r="AM11" s="13"/>
      <c r="AN11" s="13"/>
      <c r="AO11" s="13"/>
      <c r="AQ11" s="106"/>
      <c r="AR11" s="106"/>
      <c r="AS11" s="106"/>
      <c r="AT11" s="106"/>
      <c r="AU11" s="106"/>
      <c r="AV11" s="106"/>
      <c r="AW11" s="109">
        <f>SUM(AW6:AW9)</f>
        <v>9</v>
      </c>
      <c r="AX11" s="109">
        <f>SUM(AX6:AX9)</f>
        <v>8</v>
      </c>
      <c r="AY11" s="109">
        <f>SUM(AY6:AY9)</f>
        <v>6</v>
      </c>
      <c r="AZ11" s="109">
        <f>SUM(AZ6:AZ9)</f>
        <v>0</v>
      </c>
    </row>
    <row r="12" spans="1:52" ht="11.25" customHeight="1" x14ac:dyDescent="0.45">
      <c r="A12" s="22"/>
      <c r="B12" s="22"/>
      <c r="C12" s="22"/>
      <c r="D12" s="11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111"/>
      <c r="AL12" s="111"/>
      <c r="AM12" s="22"/>
      <c r="AN12" s="22"/>
      <c r="AO12" s="22"/>
      <c r="AQ12" s="106"/>
      <c r="AR12" s="106"/>
      <c r="AS12" s="106"/>
      <c r="AT12" s="106"/>
      <c r="AU12" s="106"/>
      <c r="AV12" s="106"/>
      <c r="AW12" s="112"/>
      <c r="AX12" s="112"/>
      <c r="AY12" s="112"/>
      <c r="AZ12" s="112"/>
    </row>
    <row r="13" spans="1:52" ht="20.45" customHeight="1" x14ac:dyDescent="0.45">
      <c r="A13" s="13"/>
      <c r="B13" s="13"/>
      <c r="C13" s="119"/>
      <c r="D13" s="119"/>
      <c r="E13" s="119" t="s">
        <v>58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1"/>
      <c r="AM13" s="113"/>
      <c r="AN13" s="13"/>
      <c r="AO13" s="13"/>
      <c r="AQ13" s="106"/>
      <c r="AR13" s="106"/>
      <c r="AS13" s="106"/>
      <c r="AT13" s="106"/>
      <c r="AU13" s="106"/>
      <c r="AV13" s="106"/>
      <c r="AW13" s="112"/>
      <c r="AX13" s="112"/>
      <c r="AY13" s="112"/>
      <c r="AZ13" s="112"/>
    </row>
    <row r="14" spans="1:52" ht="20.45" customHeight="1" x14ac:dyDescent="0.45">
      <c r="A14" s="13"/>
      <c r="B14" s="13"/>
      <c r="C14" s="13"/>
      <c r="D14" s="110"/>
      <c r="E14" s="1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111"/>
      <c r="AL14" s="111"/>
      <c r="AM14" s="113"/>
      <c r="AN14" s="13"/>
      <c r="AO14" s="13"/>
      <c r="AQ14" s="106"/>
      <c r="AR14" s="106"/>
      <c r="AS14" s="106"/>
      <c r="AT14" s="106"/>
      <c r="AU14" s="106"/>
      <c r="AV14" s="106"/>
      <c r="AW14" s="112"/>
      <c r="AX14" s="112"/>
      <c r="AY14" s="112"/>
      <c r="AZ14" s="112"/>
    </row>
    <row r="15" spans="1:52" ht="20.45" customHeight="1" x14ac:dyDescent="0.45">
      <c r="A15" s="13"/>
      <c r="B15" s="13"/>
      <c r="C15" s="13"/>
      <c r="D15" s="110"/>
      <c r="E15" s="13"/>
      <c r="F15" s="13"/>
      <c r="G15" s="13"/>
      <c r="H15" s="13"/>
      <c r="I15" s="13"/>
      <c r="J15" s="13"/>
      <c r="K15" s="13"/>
      <c r="L15" s="13"/>
      <c r="M15" s="13" t="s">
        <v>54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s">
        <v>55</v>
      </c>
      <c r="AH15" s="13"/>
      <c r="AI15" s="13"/>
      <c r="AJ15" s="13"/>
      <c r="AK15" s="108"/>
      <c r="AL15" s="108"/>
      <c r="AM15" s="13"/>
      <c r="AN15" s="13"/>
      <c r="AO15" s="13"/>
      <c r="AQ15" s="106"/>
      <c r="AR15" s="106"/>
      <c r="AS15" s="106"/>
      <c r="AT15" s="106"/>
      <c r="AU15" s="106"/>
      <c r="AV15" s="106"/>
      <c r="AW15" s="112"/>
      <c r="AX15" s="112"/>
      <c r="AY15" s="112"/>
      <c r="AZ15" s="112"/>
    </row>
    <row r="16" spans="1:52" ht="20.45" customHeight="1" x14ac:dyDescent="0.45">
      <c r="A16" s="22"/>
      <c r="B16" s="110"/>
      <c r="C16" s="13"/>
      <c r="D16" s="110"/>
      <c r="E16" s="13"/>
      <c r="F16" s="13"/>
      <c r="G16" s="13"/>
      <c r="H16" s="13"/>
      <c r="I16" s="13"/>
      <c r="J16" s="13"/>
      <c r="K16" s="13"/>
      <c r="L16" s="13"/>
      <c r="M16" s="13" t="s">
        <v>60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10"/>
      <c r="AE16" s="110"/>
      <c r="AF16" s="110"/>
      <c r="AG16" s="13" t="s">
        <v>56</v>
      </c>
      <c r="AH16" s="13"/>
      <c r="AI16" s="13"/>
      <c r="AJ16" s="13"/>
      <c r="AK16" s="108"/>
      <c r="AL16" s="108"/>
      <c r="AM16" s="13"/>
      <c r="AN16" s="13"/>
      <c r="AO16" s="110"/>
      <c r="AQ16" s="106"/>
      <c r="AR16" s="106"/>
      <c r="AS16" s="106"/>
      <c r="AT16" s="106"/>
      <c r="AU16" s="106"/>
      <c r="AV16" s="106"/>
      <c r="AW16" s="112"/>
      <c r="AX16" s="112"/>
      <c r="AY16" s="112"/>
      <c r="AZ16" s="112"/>
    </row>
    <row r="17" spans="1:52" ht="23.25" customHeight="1" x14ac:dyDescent="0.45">
      <c r="A17" s="22"/>
      <c r="B17" s="110"/>
      <c r="C17" s="13"/>
      <c r="D17" s="110"/>
      <c r="E17" s="13"/>
      <c r="F17" s="13"/>
      <c r="G17" s="13"/>
      <c r="H17" s="13"/>
      <c r="I17" s="13"/>
      <c r="J17" s="13"/>
      <c r="K17" s="13"/>
      <c r="L17" s="13"/>
      <c r="M17" s="248" t="s">
        <v>24</v>
      </c>
      <c r="N17" s="248"/>
      <c r="O17" s="248"/>
      <c r="P17" s="248"/>
      <c r="Q17" s="248"/>
      <c r="R17" s="248"/>
      <c r="S17" s="248"/>
      <c r="T17" s="248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08"/>
      <c r="AL17" s="108"/>
      <c r="AM17" s="113"/>
      <c r="AN17" s="13"/>
      <c r="AO17" s="13"/>
      <c r="AP17" s="13"/>
      <c r="AR17" s="114"/>
      <c r="AS17" s="106"/>
      <c r="AT17" s="106"/>
      <c r="AU17" s="106"/>
      <c r="AV17" s="106"/>
      <c r="AW17" s="112"/>
      <c r="AX17" s="112"/>
      <c r="AY17" s="112"/>
      <c r="AZ17" s="112"/>
    </row>
    <row r="18" spans="1:52" ht="23.25" customHeight="1" x14ac:dyDescent="0.45">
      <c r="A18" s="22"/>
      <c r="B18" s="110"/>
      <c r="C18" s="13"/>
      <c r="D18" s="1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08"/>
      <c r="AL18" s="108"/>
      <c r="AM18" s="113"/>
      <c r="AN18" s="13"/>
      <c r="AO18" s="13"/>
      <c r="AP18" s="13"/>
      <c r="AR18" s="114"/>
      <c r="AS18" s="106"/>
      <c r="AT18" s="106"/>
      <c r="AU18" s="106"/>
      <c r="AV18" s="106"/>
      <c r="AW18" s="112"/>
      <c r="AX18" s="112"/>
      <c r="AY18" s="112"/>
      <c r="AZ18" s="112"/>
    </row>
    <row r="19" spans="1:52" ht="23.25" customHeight="1" thickBot="1" x14ac:dyDescent="0.5">
      <c r="A19" s="22"/>
      <c r="B19" s="110"/>
      <c r="C19" s="22"/>
      <c r="D19" s="110"/>
      <c r="E19" s="13"/>
      <c r="F19" s="13"/>
      <c r="G19" s="13"/>
      <c r="H19" s="13"/>
      <c r="I19" s="13"/>
      <c r="J19" s="13"/>
      <c r="K19" s="13"/>
      <c r="L19" s="13"/>
      <c r="M19" s="13" t="s">
        <v>57</v>
      </c>
      <c r="N19" s="22"/>
      <c r="O19" s="22"/>
      <c r="P19" s="22"/>
      <c r="Q19" s="22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08"/>
      <c r="AL19" s="108"/>
      <c r="AM19" s="113"/>
      <c r="AN19" s="13"/>
      <c r="AO19" s="13"/>
      <c r="AP19" s="13"/>
      <c r="AS19" s="106"/>
      <c r="AT19" s="106"/>
      <c r="AU19" s="106"/>
      <c r="AV19" s="106"/>
      <c r="AW19" s="112"/>
      <c r="AX19" s="112"/>
      <c r="AY19" s="112"/>
      <c r="AZ19" s="112"/>
    </row>
    <row r="20" spans="1:52" ht="22.5" x14ac:dyDescent="0.45">
      <c r="A20" s="99"/>
      <c r="B20" s="101"/>
      <c r="C20" s="13"/>
      <c r="D20" s="13"/>
      <c r="E20" s="13"/>
      <c r="F20" s="265" t="s">
        <v>110</v>
      </c>
      <c r="G20" s="266"/>
      <c r="H20" s="266"/>
      <c r="I20" s="266"/>
      <c r="J20" s="266"/>
      <c r="K20" s="267"/>
      <c r="L20" s="13"/>
      <c r="M20" s="248" t="s">
        <v>21</v>
      </c>
      <c r="N20" s="248"/>
      <c r="O20" s="248"/>
      <c r="P20" s="248"/>
      <c r="Q20" s="248"/>
      <c r="R20" s="248"/>
      <c r="S20" s="248"/>
      <c r="T20" s="248"/>
      <c r="U20" s="248"/>
      <c r="AC20" s="13"/>
      <c r="AD20" s="13"/>
      <c r="AE20" s="13"/>
      <c r="AF20" s="13"/>
      <c r="AG20" s="13"/>
      <c r="AH20" s="13"/>
      <c r="AI20" s="13"/>
      <c r="AJ20" s="13"/>
      <c r="AK20" s="108"/>
      <c r="AL20" s="108"/>
      <c r="AM20" s="13"/>
      <c r="AN20" s="13"/>
      <c r="AO20" s="13"/>
      <c r="AP20" s="13"/>
      <c r="AW20" s="112"/>
      <c r="AX20" s="112"/>
      <c r="AY20" s="112"/>
      <c r="AZ20" s="112"/>
    </row>
    <row r="21" spans="1:52" ht="21.75" thickBot="1" x14ac:dyDescent="0.5">
      <c r="A21" s="14"/>
      <c r="B21" s="14"/>
      <c r="C21" s="14"/>
      <c r="D21" s="101"/>
      <c r="E21" s="14"/>
      <c r="F21" s="268"/>
      <c r="G21" s="269"/>
      <c r="H21" s="269"/>
      <c r="I21" s="269"/>
      <c r="J21" s="269"/>
      <c r="K21" s="270"/>
      <c r="L21" s="14"/>
      <c r="M21" s="256" t="s">
        <v>23</v>
      </c>
      <c r="N21" s="256"/>
      <c r="O21" s="256"/>
      <c r="P21" s="256"/>
      <c r="Q21" s="256"/>
      <c r="R21" s="256"/>
      <c r="S21" s="256"/>
      <c r="T21" s="256"/>
      <c r="U21" s="256"/>
      <c r="AC21" s="14"/>
      <c r="AD21" s="14"/>
      <c r="AE21" s="14"/>
      <c r="AF21" s="14"/>
      <c r="AG21" s="14"/>
      <c r="AH21" s="14"/>
      <c r="AI21" s="14"/>
      <c r="AJ21" s="14"/>
      <c r="AK21" s="115"/>
      <c r="AL21" s="115"/>
      <c r="AM21" s="105"/>
      <c r="AN21" s="14"/>
      <c r="AO21" s="14"/>
    </row>
  </sheetData>
  <sheetProtection password="CEEF" sheet="1" formatCells="0" formatColumns="0" formatRows="0" insertColumns="0" insertRows="0" insertHyperlinks="0" deleteColumns="0" deleteRows="0" sort="0" autoFilter="0" pivotTables="0"/>
  <mergeCells count="17">
    <mergeCell ref="AF9:AJ9"/>
    <mergeCell ref="P11:AD11"/>
    <mergeCell ref="M17:T17"/>
    <mergeCell ref="F20:K21"/>
    <mergeCell ref="M20:U20"/>
    <mergeCell ref="M21:U21"/>
    <mergeCell ref="E11:G11"/>
    <mergeCell ref="A1:AO1"/>
    <mergeCell ref="AW1:AZ1"/>
    <mergeCell ref="A2:AO2"/>
    <mergeCell ref="A3:AO3"/>
    <mergeCell ref="A4:A5"/>
    <mergeCell ref="B4:C4"/>
    <mergeCell ref="F4:AJ4"/>
    <mergeCell ref="AK4:AL4"/>
    <mergeCell ref="AW4:AZ4"/>
    <mergeCell ref="E4:E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3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AB95-9D1A-4188-883B-DDACAB211E02}">
  <sheetPr>
    <tabColor theme="4" tint="0.59999389629810485"/>
    <pageSetUpPr fitToPage="1"/>
  </sheetPr>
  <dimension ref="A1:BA21"/>
  <sheetViews>
    <sheetView showGridLines="0" workbookViewId="0">
      <selection activeCell="F22" sqref="F22"/>
    </sheetView>
  </sheetViews>
  <sheetFormatPr defaultRowHeight="21" x14ac:dyDescent="0.45"/>
  <cols>
    <col min="1" max="1" width="5" style="30" customWidth="1"/>
    <col min="2" max="2" width="12.625" style="30" customWidth="1"/>
    <col min="3" max="3" width="12" style="30" customWidth="1"/>
    <col min="4" max="4" width="16.875" style="116" customWidth="1"/>
    <col min="5" max="6" width="4.125" style="30" customWidth="1"/>
    <col min="7" max="37" width="2.875" style="30" customWidth="1"/>
    <col min="38" max="39" width="4.125" style="117" customWidth="1"/>
    <col min="40" max="40" width="9.875" style="118" customWidth="1"/>
    <col min="41" max="41" width="9" style="30"/>
    <col min="42" max="42" width="13.75" style="30" customWidth="1"/>
    <col min="43" max="43" width="8.75" style="30" customWidth="1"/>
    <col min="44" max="46" width="4.5" style="30" customWidth="1"/>
    <col min="47" max="47" width="4" style="30" customWidth="1"/>
    <col min="48" max="48" width="3.75" style="30" customWidth="1"/>
    <col min="49" max="49" width="4.125" style="30" customWidth="1"/>
    <col min="50" max="50" width="3.75" style="30" customWidth="1"/>
    <col min="51" max="51" width="4.25" style="30" customWidth="1"/>
    <col min="52" max="52" width="4" style="30" customWidth="1"/>
    <col min="53" max="53" width="4.75" style="30" customWidth="1"/>
    <col min="54" max="256" width="9" style="30"/>
    <col min="257" max="257" width="5" style="30" customWidth="1"/>
    <col min="258" max="258" width="12.625" style="30" customWidth="1"/>
    <col min="259" max="259" width="12" style="30" customWidth="1"/>
    <col min="260" max="260" width="16.875" style="30" customWidth="1"/>
    <col min="261" max="262" width="4.125" style="30" customWidth="1"/>
    <col min="263" max="293" width="2.875" style="30" customWidth="1"/>
    <col min="294" max="295" width="4.125" style="30" customWidth="1"/>
    <col min="296" max="296" width="9.875" style="30" customWidth="1"/>
    <col min="297" max="297" width="9" style="30"/>
    <col min="298" max="298" width="13.75" style="30" customWidth="1"/>
    <col min="299" max="299" width="8.75" style="30" customWidth="1"/>
    <col min="300" max="302" width="4.5" style="30" customWidth="1"/>
    <col min="303" max="303" width="4" style="30" customWidth="1"/>
    <col min="304" max="304" width="3.75" style="30" customWidth="1"/>
    <col min="305" max="305" width="4.125" style="30" customWidth="1"/>
    <col min="306" max="306" width="3.75" style="30" customWidth="1"/>
    <col min="307" max="307" width="4.25" style="30" customWidth="1"/>
    <col min="308" max="308" width="4" style="30" customWidth="1"/>
    <col min="309" max="309" width="4.75" style="30" customWidth="1"/>
    <col min="310" max="512" width="9" style="30"/>
    <col min="513" max="513" width="5" style="30" customWidth="1"/>
    <col min="514" max="514" width="12.625" style="30" customWidth="1"/>
    <col min="515" max="515" width="12" style="30" customWidth="1"/>
    <col min="516" max="516" width="16.875" style="30" customWidth="1"/>
    <col min="517" max="518" width="4.125" style="30" customWidth="1"/>
    <col min="519" max="549" width="2.875" style="30" customWidth="1"/>
    <col min="550" max="551" width="4.125" style="30" customWidth="1"/>
    <col min="552" max="552" width="9.875" style="30" customWidth="1"/>
    <col min="553" max="553" width="9" style="30"/>
    <col min="554" max="554" width="13.75" style="30" customWidth="1"/>
    <col min="555" max="555" width="8.75" style="30" customWidth="1"/>
    <col min="556" max="558" width="4.5" style="30" customWidth="1"/>
    <col min="559" max="559" width="4" style="30" customWidth="1"/>
    <col min="560" max="560" width="3.75" style="30" customWidth="1"/>
    <col min="561" max="561" width="4.125" style="30" customWidth="1"/>
    <col min="562" max="562" width="3.75" style="30" customWidth="1"/>
    <col min="563" max="563" width="4.25" style="30" customWidth="1"/>
    <col min="564" max="564" width="4" style="30" customWidth="1"/>
    <col min="565" max="565" width="4.75" style="30" customWidth="1"/>
    <col min="566" max="768" width="9" style="30"/>
    <col min="769" max="769" width="5" style="30" customWidth="1"/>
    <col min="770" max="770" width="12.625" style="30" customWidth="1"/>
    <col min="771" max="771" width="12" style="30" customWidth="1"/>
    <col min="772" max="772" width="16.875" style="30" customWidth="1"/>
    <col min="773" max="774" width="4.125" style="30" customWidth="1"/>
    <col min="775" max="805" width="2.875" style="30" customWidth="1"/>
    <col min="806" max="807" width="4.125" style="30" customWidth="1"/>
    <col min="808" max="808" width="9.875" style="30" customWidth="1"/>
    <col min="809" max="809" width="9" style="30"/>
    <col min="810" max="810" width="13.75" style="30" customWidth="1"/>
    <col min="811" max="811" width="8.75" style="30" customWidth="1"/>
    <col min="812" max="814" width="4.5" style="30" customWidth="1"/>
    <col min="815" max="815" width="4" style="30" customWidth="1"/>
    <col min="816" max="816" width="3.75" style="30" customWidth="1"/>
    <col min="817" max="817" width="4.125" style="30" customWidth="1"/>
    <col min="818" max="818" width="3.75" style="30" customWidth="1"/>
    <col min="819" max="819" width="4.25" style="30" customWidth="1"/>
    <col min="820" max="820" width="4" style="30" customWidth="1"/>
    <col min="821" max="821" width="4.75" style="30" customWidth="1"/>
    <col min="822" max="1024" width="9" style="30"/>
    <col min="1025" max="1025" width="5" style="30" customWidth="1"/>
    <col min="1026" max="1026" width="12.625" style="30" customWidth="1"/>
    <col min="1027" max="1027" width="12" style="30" customWidth="1"/>
    <col min="1028" max="1028" width="16.875" style="30" customWidth="1"/>
    <col min="1029" max="1030" width="4.125" style="30" customWidth="1"/>
    <col min="1031" max="1061" width="2.875" style="30" customWidth="1"/>
    <col min="1062" max="1063" width="4.125" style="30" customWidth="1"/>
    <col min="1064" max="1064" width="9.875" style="30" customWidth="1"/>
    <col min="1065" max="1065" width="9" style="30"/>
    <col min="1066" max="1066" width="13.75" style="30" customWidth="1"/>
    <col min="1067" max="1067" width="8.75" style="30" customWidth="1"/>
    <col min="1068" max="1070" width="4.5" style="30" customWidth="1"/>
    <col min="1071" max="1071" width="4" style="30" customWidth="1"/>
    <col min="1072" max="1072" width="3.75" style="30" customWidth="1"/>
    <col min="1073" max="1073" width="4.125" style="30" customWidth="1"/>
    <col min="1074" max="1074" width="3.75" style="30" customWidth="1"/>
    <col min="1075" max="1075" width="4.25" style="30" customWidth="1"/>
    <col min="1076" max="1076" width="4" style="30" customWidth="1"/>
    <col min="1077" max="1077" width="4.75" style="30" customWidth="1"/>
    <col min="1078" max="1280" width="9" style="30"/>
    <col min="1281" max="1281" width="5" style="30" customWidth="1"/>
    <col min="1282" max="1282" width="12.625" style="30" customWidth="1"/>
    <col min="1283" max="1283" width="12" style="30" customWidth="1"/>
    <col min="1284" max="1284" width="16.875" style="30" customWidth="1"/>
    <col min="1285" max="1286" width="4.125" style="30" customWidth="1"/>
    <col min="1287" max="1317" width="2.875" style="30" customWidth="1"/>
    <col min="1318" max="1319" width="4.125" style="30" customWidth="1"/>
    <col min="1320" max="1320" width="9.875" style="30" customWidth="1"/>
    <col min="1321" max="1321" width="9" style="30"/>
    <col min="1322" max="1322" width="13.75" style="30" customWidth="1"/>
    <col min="1323" max="1323" width="8.75" style="30" customWidth="1"/>
    <col min="1324" max="1326" width="4.5" style="30" customWidth="1"/>
    <col min="1327" max="1327" width="4" style="30" customWidth="1"/>
    <col min="1328" max="1328" width="3.75" style="30" customWidth="1"/>
    <col min="1329" max="1329" width="4.125" style="30" customWidth="1"/>
    <col min="1330" max="1330" width="3.75" style="30" customWidth="1"/>
    <col min="1331" max="1331" width="4.25" style="30" customWidth="1"/>
    <col min="1332" max="1332" width="4" style="30" customWidth="1"/>
    <col min="1333" max="1333" width="4.75" style="30" customWidth="1"/>
    <col min="1334" max="1536" width="9" style="30"/>
    <col min="1537" max="1537" width="5" style="30" customWidth="1"/>
    <col min="1538" max="1538" width="12.625" style="30" customWidth="1"/>
    <col min="1539" max="1539" width="12" style="30" customWidth="1"/>
    <col min="1540" max="1540" width="16.875" style="30" customWidth="1"/>
    <col min="1541" max="1542" width="4.125" style="30" customWidth="1"/>
    <col min="1543" max="1573" width="2.875" style="30" customWidth="1"/>
    <col min="1574" max="1575" width="4.125" style="30" customWidth="1"/>
    <col min="1576" max="1576" width="9.875" style="30" customWidth="1"/>
    <col min="1577" max="1577" width="9" style="30"/>
    <col min="1578" max="1578" width="13.75" style="30" customWidth="1"/>
    <col min="1579" max="1579" width="8.75" style="30" customWidth="1"/>
    <col min="1580" max="1582" width="4.5" style="30" customWidth="1"/>
    <col min="1583" max="1583" width="4" style="30" customWidth="1"/>
    <col min="1584" max="1584" width="3.75" style="30" customWidth="1"/>
    <col min="1585" max="1585" width="4.125" style="30" customWidth="1"/>
    <col min="1586" max="1586" width="3.75" style="30" customWidth="1"/>
    <col min="1587" max="1587" width="4.25" style="30" customWidth="1"/>
    <col min="1588" max="1588" width="4" style="30" customWidth="1"/>
    <col min="1589" max="1589" width="4.75" style="30" customWidth="1"/>
    <col min="1590" max="1792" width="9" style="30"/>
    <col min="1793" max="1793" width="5" style="30" customWidth="1"/>
    <col min="1794" max="1794" width="12.625" style="30" customWidth="1"/>
    <col min="1795" max="1795" width="12" style="30" customWidth="1"/>
    <col min="1796" max="1796" width="16.875" style="30" customWidth="1"/>
    <col min="1797" max="1798" width="4.125" style="30" customWidth="1"/>
    <col min="1799" max="1829" width="2.875" style="30" customWidth="1"/>
    <col min="1830" max="1831" width="4.125" style="30" customWidth="1"/>
    <col min="1832" max="1832" width="9.875" style="30" customWidth="1"/>
    <col min="1833" max="1833" width="9" style="30"/>
    <col min="1834" max="1834" width="13.75" style="30" customWidth="1"/>
    <col min="1835" max="1835" width="8.75" style="30" customWidth="1"/>
    <col min="1836" max="1838" width="4.5" style="30" customWidth="1"/>
    <col min="1839" max="1839" width="4" style="30" customWidth="1"/>
    <col min="1840" max="1840" width="3.75" style="30" customWidth="1"/>
    <col min="1841" max="1841" width="4.125" style="30" customWidth="1"/>
    <col min="1842" max="1842" width="3.75" style="30" customWidth="1"/>
    <col min="1843" max="1843" width="4.25" style="30" customWidth="1"/>
    <col min="1844" max="1844" width="4" style="30" customWidth="1"/>
    <col min="1845" max="1845" width="4.75" style="30" customWidth="1"/>
    <col min="1846" max="2048" width="9" style="30"/>
    <col min="2049" max="2049" width="5" style="30" customWidth="1"/>
    <col min="2050" max="2050" width="12.625" style="30" customWidth="1"/>
    <col min="2051" max="2051" width="12" style="30" customWidth="1"/>
    <col min="2052" max="2052" width="16.875" style="30" customWidth="1"/>
    <col min="2053" max="2054" width="4.125" style="30" customWidth="1"/>
    <col min="2055" max="2085" width="2.875" style="30" customWidth="1"/>
    <col min="2086" max="2087" width="4.125" style="30" customWidth="1"/>
    <col min="2088" max="2088" width="9.875" style="30" customWidth="1"/>
    <col min="2089" max="2089" width="9" style="30"/>
    <col min="2090" max="2090" width="13.75" style="30" customWidth="1"/>
    <col min="2091" max="2091" width="8.75" style="30" customWidth="1"/>
    <col min="2092" max="2094" width="4.5" style="30" customWidth="1"/>
    <col min="2095" max="2095" width="4" style="30" customWidth="1"/>
    <col min="2096" max="2096" width="3.75" style="30" customWidth="1"/>
    <col min="2097" max="2097" width="4.125" style="30" customWidth="1"/>
    <col min="2098" max="2098" width="3.75" style="30" customWidth="1"/>
    <col min="2099" max="2099" width="4.25" style="30" customWidth="1"/>
    <col min="2100" max="2100" width="4" style="30" customWidth="1"/>
    <col min="2101" max="2101" width="4.75" style="30" customWidth="1"/>
    <col min="2102" max="2304" width="9" style="30"/>
    <col min="2305" max="2305" width="5" style="30" customWidth="1"/>
    <col min="2306" max="2306" width="12.625" style="30" customWidth="1"/>
    <col min="2307" max="2307" width="12" style="30" customWidth="1"/>
    <col min="2308" max="2308" width="16.875" style="30" customWidth="1"/>
    <col min="2309" max="2310" width="4.125" style="30" customWidth="1"/>
    <col min="2311" max="2341" width="2.875" style="30" customWidth="1"/>
    <col min="2342" max="2343" width="4.125" style="30" customWidth="1"/>
    <col min="2344" max="2344" width="9.875" style="30" customWidth="1"/>
    <col min="2345" max="2345" width="9" style="30"/>
    <col min="2346" max="2346" width="13.75" style="30" customWidth="1"/>
    <col min="2347" max="2347" width="8.75" style="30" customWidth="1"/>
    <col min="2348" max="2350" width="4.5" style="30" customWidth="1"/>
    <col min="2351" max="2351" width="4" style="30" customWidth="1"/>
    <col min="2352" max="2352" width="3.75" style="30" customWidth="1"/>
    <col min="2353" max="2353" width="4.125" style="30" customWidth="1"/>
    <col min="2354" max="2354" width="3.75" style="30" customWidth="1"/>
    <col min="2355" max="2355" width="4.25" style="30" customWidth="1"/>
    <col min="2356" max="2356" width="4" style="30" customWidth="1"/>
    <col min="2357" max="2357" width="4.75" style="30" customWidth="1"/>
    <col min="2358" max="2560" width="9" style="30"/>
    <col min="2561" max="2561" width="5" style="30" customWidth="1"/>
    <col min="2562" max="2562" width="12.625" style="30" customWidth="1"/>
    <col min="2563" max="2563" width="12" style="30" customWidth="1"/>
    <col min="2564" max="2564" width="16.875" style="30" customWidth="1"/>
    <col min="2565" max="2566" width="4.125" style="30" customWidth="1"/>
    <col min="2567" max="2597" width="2.875" style="30" customWidth="1"/>
    <col min="2598" max="2599" width="4.125" style="30" customWidth="1"/>
    <col min="2600" max="2600" width="9.875" style="30" customWidth="1"/>
    <col min="2601" max="2601" width="9" style="30"/>
    <col min="2602" max="2602" width="13.75" style="30" customWidth="1"/>
    <col min="2603" max="2603" width="8.75" style="30" customWidth="1"/>
    <col min="2604" max="2606" width="4.5" style="30" customWidth="1"/>
    <col min="2607" max="2607" width="4" style="30" customWidth="1"/>
    <col min="2608" max="2608" width="3.75" style="30" customWidth="1"/>
    <col min="2609" max="2609" width="4.125" style="30" customWidth="1"/>
    <col min="2610" max="2610" width="3.75" style="30" customWidth="1"/>
    <col min="2611" max="2611" width="4.25" style="30" customWidth="1"/>
    <col min="2612" max="2612" width="4" style="30" customWidth="1"/>
    <col min="2613" max="2613" width="4.75" style="30" customWidth="1"/>
    <col min="2614" max="2816" width="9" style="30"/>
    <col min="2817" max="2817" width="5" style="30" customWidth="1"/>
    <col min="2818" max="2818" width="12.625" style="30" customWidth="1"/>
    <col min="2819" max="2819" width="12" style="30" customWidth="1"/>
    <col min="2820" max="2820" width="16.875" style="30" customWidth="1"/>
    <col min="2821" max="2822" width="4.125" style="30" customWidth="1"/>
    <col min="2823" max="2853" width="2.875" style="30" customWidth="1"/>
    <col min="2854" max="2855" width="4.125" style="30" customWidth="1"/>
    <col min="2856" max="2856" width="9.875" style="30" customWidth="1"/>
    <col min="2857" max="2857" width="9" style="30"/>
    <col min="2858" max="2858" width="13.75" style="30" customWidth="1"/>
    <col min="2859" max="2859" width="8.75" style="30" customWidth="1"/>
    <col min="2860" max="2862" width="4.5" style="30" customWidth="1"/>
    <col min="2863" max="2863" width="4" style="30" customWidth="1"/>
    <col min="2864" max="2864" width="3.75" style="30" customWidth="1"/>
    <col min="2865" max="2865" width="4.125" style="30" customWidth="1"/>
    <col min="2866" max="2866" width="3.75" style="30" customWidth="1"/>
    <col min="2867" max="2867" width="4.25" style="30" customWidth="1"/>
    <col min="2868" max="2868" width="4" style="30" customWidth="1"/>
    <col min="2869" max="2869" width="4.75" style="30" customWidth="1"/>
    <col min="2870" max="3072" width="9" style="30"/>
    <col min="3073" max="3073" width="5" style="30" customWidth="1"/>
    <col min="3074" max="3074" width="12.625" style="30" customWidth="1"/>
    <col min="3075" max="3075" width="12" style="30" customWidth="1"/>
    <col min="3076" max="3076" width="16.875" style="30" customWidth="1"/>
    <col min="3077" max="3078" width="4.125" style="30" customWidth="1"/>
    <col min="3079" max="3109" width="2.875" style="30" customWidth="1"/>
    <col min="3110" max="3111" width="4.125" style="30" customWidth="1"/>
    <col min="3112" max="3112" width="9.875" style="30" customWidth="1"/>
    <col min="3113" max="3113" width="9" style="30"/>
    <col min="3114" max="3114" width="13.75" style="30" customWidth="1"/>
    <col min="3115" max="3115" width="8.75" style="30" customWidth="1"/>
    <col min="3116" max="3118" width="4.5" style="30" customWidth="1"/>
    <col min="3119" max="3119" width="4" style="30" customWidth="1"/>
    <col min="3120" max="3120" width="3.75" style="30" customWidth="1"/>
    <col min="3121" max="3121" width="4.125" style="30" customWidth="1"/>
    <col min="3122" max="3122" width="3.75" style="30" customWidth="1"/>
    <col min="3123" max="3123" width="4.25" style="30" customWidth="1"/>
    <col min="3124" max="3124" width="4" style="30" customWidth="1"/>
    <col min="3125" max="3125" width="4.75" style="30" customWidth="1"/>
    <col min="3126" max="3328" width="9" style="30"/>
    <col min="3329" max="3329" width="5" style="30" customWidth="1"/>
    <col min="3330" max="3330" width="12.625" style="30" customWidth="1"/>
    <col min="3331" max="3331" width="12" style="30" customWidth="1"/>
    <col min="3332" max="3332" width="16.875" style="30" customWidth="1"/>
    <col min="3333" max="3334" width="4.125" style="30" customWidth="1"/>
    <col min="3335" max="3365" width="2.875" style="30" customWidth="1"/>
    <col min="3366" max="3367" width="4.125" style="30" customWidth="1"/>
    <col min="3368" max="3368" width="9.875" style="30" customWidth="1"/>
    <col min="3369" max="3369" width="9" style="30"/>
    <col min="3370" max="3370" width="13.75" style="30" customWidth="1"/>
    <col min="3371" max="3371" width="8.75" style="30" customWidth="1"/>
    <col min="3372" max="3374" width="4.5" style="30" customWidth="1"/>
    <col min="3375" max="3375" width="4" style="30" customWidth="1"/>
    <col min="3376" max="3376" width="3.75" style="30" customWidth="1"/>
    <col min="3377" max="3377" width="4.125" style="30" customWidth="1"/>
    <col min="3378" max="3378" width="3.75" style="30" customWidth="1"/>
    <col min="3379" max="3379" width="4.25" style="30" customWidth="1"/>
    <col min="3380" max="3380" width="4" style="30" customWidth="1"/>
    <col min="3381" max="3381" width="4.75" style="30" customWidth="1"/>
    <col min="3382" max="3584" width="9" style="30"/>
    <col min="3585" max="3585" width="5" style="30" customWidth="1"/>
    <col min="3586" max="3586" width="12.625" style="30" customWidth="1"/>
    <col min="3587" max="3587" width="12" style="30" customWidth="1"/>
    <col min="3588" max="3588" width="16.875" style="30" customWidth="1"/>
    <col min="3589" max="3590" width="4.125" style="30" customWidth="1"/>
    <col min="3591" max="3621" width="2.875" style="30" customWidth="1"/>
    <col min="3622" max="3623" width="4.125" style="30" customWidth="1"/>
    <col min="3624" max="3624" width="9.875" style="30" customWidth="1"/>
    <col min="3625" max="3625" width="9" style="30"/>
    <col min="3626" max="3626" width="13.75" style="30" customWidth="1"/>
    <col min="3627" max="3627" width="8.75" style="30" customWidth="1"/>
    <col min="3628" max="3630" width="4.5" style="30" customWidth="1"/>
    <col min="3631" max="3631" width="4" style="30" customWidth="1"/>
    <col min="3632" max="3632" width="3.75" style="30" customWidth="1"/>
    <col min="3633" max="3633" width="4.125" style="30" customWidth="1"/>
    <col min="3634" max="3634" width="3.75" style="30" customWidth="1"/>
    <col min="3635" max="3635" width="4.25" style="30" customWidth="1"/>
    <col min="3636" max="3636" width="4" style="30" customWidth="1"/>
    <col min="3637" max="3637" width="4.75" style="30" customWidth="1"/>
    <col min="3638" max="3840" width="9" style="30"/>
    <col min="3841" max="3841" width="5" style="30" customWidth="1"/>
    <col min="3842" max="3842" width="12.625" style="30" customWidth="1"/>
    <col min="3843" max="3843" width="12" style="30" customWidth="1"/>
    <col min="3844" max="3844" width="16.875" style="30" customWidth="1"/>
    <col min="3845" max="3846" width="4.125" style="30" customWidth="1"/>
    <col min="3847" max="3877" width="2.875" style="30" customWidth="1"/>
    <col min="3878" max="3879" width="4.125" style="30" customWidth="1"/>
    <col min="3880" max="3880" width="9.875" style="30" customWidth="1"/>
    <col min="3881" max="3881" width="9" style="30"/>
    <col min="3882" max="3882" width="13.75" style="30" customWidth="1"/>
    <col min="3883" max="3883" width="8.75" style="30" customWidth="1"/>
    <col min="3884" max="3886" width="4.5" style="30" customWidth="1"/>
    <col min="3887" max="3887" width="4" style="30" customWidth="1"/>
    <col min="3888" max="3888" width="3.75" style="30" customWidth="1"/>
    <col min="3889" max="3889" width="4.125" style="30" customWidth="1"/>
    <col min="3890" max="3890" width="3.75" style="30" customWidth="1"/>
    <col min="3891" max="3891" width="4.25" style="30" customWidth="1"/>
    <col min="3892" max="3892" width="4" style="30" customWidth="1"/>
    <col min="3893" max="3893" width="4.75" style="30" customWidth="1"/>
    <col min="3894" max="4096" width="9" style="30"/>
    <col min="4097" max="4097" width="5" style="30" customWidth="1"/>
    <col min="4098" max="4098" width="12.625" style="30" customWidth="1"/>
    <col min="4099" max="4099" width="12" style="30" customWidth="1"/>
    <col min="4100" max="4100" width="16.875" style="30" customWidth="1"/>
    <col min="4101" max="4102" width="4.125" style="30" customWidth="1"/>
    <col min="4103" max="4133" width="2.875" style="30" customWidth="1"/>
    <col min="4134" max="4135" width="4.125" style="30" customWidth="1"/>
    <col min="4136" max="4136" width="9.875" style="30" customWidth="1"/>
    <col min="4137" max="4137" width="9" style="30"/>
    <col min="4138" max="4138" width="13.75" style="30" customWidth="1"/>
    <col min="4139" max="4139" width="8.75" style="30" customWidth="1"/>
    <col min="4140" max="4142" width="4.5" style="30" customWidth="1"/>
    <col min="4143" max="4143" width="4" style="30" customWidth="1"/>
    <col min="4144" max="4144" width="3.75" style="30" customWidth="1"/>
    <col min="4145" max="4145" width="4.125" style="30" customWidth="1"/>
    <col min="4146" max="4146" width="3.75" style="30" customWidth="1"/>
    <col min="4147" max="4147" width="4.25" style="30" customWidth="1"/>
    <col min="4148" max="4148" width="4" style="30" customWidth="1"/>
    <col min="4149" max="4149" width="4.75" style="30" customWidth="1"/>
    <col min="4150" max="4352" width="9" style="30"/>
    <col min="4353" max="4353" width="5" style="30" customWidth="1"/>
    <col min="4354" max="4354" width="12.625" style="30" customWidth="1"/>
    <col min="4355" max="4355" width="12" style="30" customWidth="1"/>
    <col min="4356" max="4356" width="16.875" style="30" customWidth="1"/>
    <col min="4357" max="4358" width="4.125" style="30" customWidth="1"/>
    <col min="4359" max="4389" width="2.875" style="30" customWidth="1"/>
    <col min="4390" max="4391" width="4.125" style="30" customWidth="1"/>
    <col min="4392" max="4392" width="9.875" style="30" customWidth="1"/>
    <col min="4393" max="4393" width="9" style="30"/>
    <col min="4394" max="4394" width="13.75" style="30" customWidth="1"/>
    <col min="4395" max="4395" width="8.75" style="30" customWidth="1"/>
    <col min="4396" max="4398" width="4.5" style="30" customWidth="1"/>
    <col min="4399" max="4399" width="4" style="30" customWidth="1"/>
    <col min="4400" max="4400" width="3.75" style="30" customWidth="1"/>
    <col min="4401" max="4401" width="4.125" style="30" customWidth="1"/>
    <col min="4402" max="4402" width="3.75" style="30" customWidth="1"/>
    <col min="4403" max="4403" width="4.25" style="30" customWidth="1"/>
    <col min="4404" max="4404" width="4" style="30" customWidth="1"/>
    <col min="4405" max="4405" width="4.75" style="30" customWidth="1"/>
    <col min="4406" max="4608" width="9" style="30"/>
    <col min="4609" max="4609" width="5" style="30" customWidth="1"/>
    <col min="4610" max="4610" width="12.625" style="30" customWidth="1"/>
    <col min="4611" max="4611" width="12" style="30" customWidth="1"/>
    <col min="4612" max="4612" width="16.875" style="30" customWidth="1"/>
    <col min="4613" max="4614" width="4.125" style="30" customWidth="1"/>
    <col min="4615" max="4645" width="2.875" style="30" customWidth="1"/>
    <col min="4646" max="4647" width="4.125" style="30" customWidth="1"/>
    <col min="4648" max="4648" width="9.875" style="30" customWidth="1"/>
    <col min="4649" max="4649" width="9" style="30"/>
    <col min="4650" max="4650" width="13.75" style="30" customWidth="1"/>
    <col min="4651" max="4651" width="8.75" style="30" customWidth="1"/>
    <col min="4652" max="4654" width="4.5" style="30" customWidth="1"/>
    <col min="4655" max="4655" width="4" style="30" customWidth="1"/>
    <col min="4656" max="4656" width="3.75" style="30" customWidth="1"/>
    <col min="4657" max="4657" width="4.125" style="30" customWidth="1"/>
    <col min="4658" max="4658" width="3.75" style="30" customWidth="1"/>
    <col min="4659" max="4659" width="4.25" style="30" customWidth="1"/>
    <col min="4660" max="4660" width="4" style="30" customWidth="1"/>
    <col min="4661" max="4661" width="4.75" style="30" customWidth="1"/>
    <col min="4662" max="4864" width="9" style="30"/>
    <col min="4865" max="4865" width="5" style="30" customWidth="1"/>
    <col min="4866" max="4866" width="12.625" style="30" customWidth="1"/>
    <col min="4867" max="4867" width="12" style="30" customWidth="1"/>
    <col min="4868" max="4868" width="16.875" style="30" customWidth="1"/>
    <col min="4869" max="4870" width="4.125" style="30" customWidth="1"/>
    <col min="4871" max="4901" width="2.875" style="30" customWidth="1"/>
    <col min="4902" max="4903" width="4.125" style="30" customWidth="1"/>
    <col min="4904" max="4904" width="9.875" style="30" customWidth="1"/>
    <col min="4905" max="4905" width="9" style="30"/>
    <col min="4906" max="4906" width="13.75" style="30" customWidth="1"/>
    <col min="4907" max="4907" width="8.75" style="30" customWidth="1"/>
    <col min="4908" max="4910" width="4.5" style="30" customWidth="1"/>
    <col min="4911" max="4911" width="4" style="30" customWidth="1"/>
    <col min="4912" max="4912" width="3.75" style="30" customWidth="1"/>
    <col min="4913" max="4913" width="4.125" style="30" customWidth="1"/>
    <col min="4914" max="4914" width="3.75" style="30" customWidth="1"/>
    <col min="4915" max="4915" width="4.25" style="30" customWidth="1"/>
    <col min="4916" max="4916" width="4" style="30" customWidth="1"/>
    <col min="4917" max="4917" width="4.75" style="30" customWidth="1"/>
    <col min="4918" max="5120" width="9" style="30"/>
    <col min="5121" max="5121" width="5" style="30" customWidth="1"/>
    <col min="5122" max="5122" width="12.625" style="30" customWidth="1"/>
    <col min="5123" max="5123" width="12" style="30" customWidth="1"/>
    <col min="5124" max="5124" width="16.875" style="30" customWidth="1"/>
    <col min="5125" max="5126" width="4.125" style="30" customWidth="1"/>
    <col min="5127" max="5157" width="2.875" style="30" customWidth="1"/>
    <col min="5158" max="5159" width="4.125" style="30" customWidth="1"/>
    <col min="5160" max="5160" width="9.875" style="30" customWidth="1"/>
    <col min="5161" max="5161" width="9" style="30"/>
    <col min="5162" max="5162" width="13.75" style="30" customWidth="1"/>
    <col min="5163" max="5163" width="8.75" style="30" customWidth="1"/>
    <col min="5164" max="5166" width="4.5" style="30" customWidth="1"/>
    <col min="5167" max="5167" width="4" style="30" customWidth="1"/>
    <col min="5168" max="5168" width="3.75" style="30" customWidth="1"/>
    <col min="5169" max="5169" width="4.125" style="30" customWidth="1"/>
    <col min="5170" max="5170" width="3.75" style="30" customWidth="1"/>
    <col min="5171" max="5171" width="4.25" style="30" customWidth="1"/>
    <col min="5172" max="5172" width="4" style="30" customWidth="1"/>
    <col min="5173" max="5173" width="4.75" style="30" customWidth="1"/>
    <col min="5174" max="5376" width="9" style="30"/>
    <col min="5377" max="5377" width="5" style="30" customWidth="1"/>
    <col min="5378" max="5378" width="12.625" style="30" customWidth="1"/>
    <col min="5379" max="5379" width="12" style="30" customWidth="1"/>
    <col min="5380" max="5380" width="16.875" style="30" customWidth="1"/>
    <col min="5381" max="5382" width="4.125" style="30" customWidth="1"/>
    <col min="5383" max="5413" width="2.875" style="30" customWidth="1"/>
    <col min="5414" max="5415" width="4.125" style="30" customWidth="1"/>
    <col min="5416" max="5416" width="9.875" style="30" customWidth="1"/>
    <col min="5417" max="5417" width="9" style="30"/>
    <col min="5418" max="5418" width="13.75" style="30" customWidth="1"/>
    <col min="5419" max="5419" width="8.75" style="30" customWidth="1"/>
    <col min="5420" max="5422" width="4.5" style="30" customWidth="1"/>
    <col min="5423" max="5423" width="4" style="30" customWidth="1"/>
    <col min="5424" max="5424" width="3.75" style="30" customWidth="1"/>
    <col min="5425" max="5425" width="4.125" style="30" customWidth="1"/>
    <col min="5426" max="5426" width="3.75" style="30" customWidth="1"/>
    <col min="5427" max="5427" width="4.25" style="30" customWidth="1"/>
    <col min="5428" max="5428" width="4" style="30" customWidth="1"/>
    <col min="5429" max="5429" width="4.75" style="30" customWidth="1"/>
    <col min="5430" max="5632" width="9" style="30"/>
    <col min="5633" max="5633" width="5" style="30" customWidth="1"/>
    <col min="5634" max="5634" width="12.625" style="30" customWidth="1"/>
    <col min="5635" max="5635" width="12" style="30" customWidth="1"/>
    <col min="5636" max="5636" width="16.875" style="30" customWidth="1"/>
    <col min="5637" max="5638" width="4.125" style="30" customWidth="1"/>
    <col min="5639" max="5669" width="2.875" style="30" customWidth="1"/>
    <col min="5670" max="5671" width="4.125" style="30" customWidth="1"/>
    <col min="5672" max="5672" width="9.875" style="30" customWidth="1"/>
    <col min="5673" max="5673" width="9" style="30"/>
    <col min="5674" max="5674" width="13.75" style="30" customWidth="1"/>
    <col min="5675" max="5675" width="8.75" style="30" customWidth="1"/>
    <col min="5676" max="5678" width="4.5" style="30" customWidth="1"/>
    <col min="5679" max="5679" width="4" style="30" customWidth="1"/>
    <col min="5680" max="5680" width="3.75" style="30" customWidth="1"/>
    <col min="5681" max="5681" width="4.125" style="30" customWidth="1"/>
    <col min="5682" max="5682" width="3.75" style="30" customWidth="1"/>
    <col min="5683" max="5683" width="4.25" style="30" customWidth="1"/>
    <col min="5684" max="5684" width="4" style="30" customWidth="1"/>
    <col min="5685" max="5685" width="4.75" style="30" customWidth="1"/>
    <col min="5686" max="5888" width="9" style="30"/>
    <col min="5889" max="5889" width="5" style="30" customWidth="1"/>
    <col min="5890" max="5890" width="12.625" style="30" customWidth="1"/>
    <col min="5891" max="5891" width="12" style="30" customWidth="1"/>
    <col min="5892" max="5892" width="16.875" style="30" customWidth="1"/>
    <col min="5893" max="5894" width="4.125" style="30" customWidth="1"/>
    <col min="5895" max="5925" width="2.875" style="30" customWidth="1"/>
    <col min="5926" max="5927" width="4.125" style="30" customWidth="1"/>
    <col min="5928" max="5928" width="9.875" style="30" customWidth="1"/>
    <col min="5929" max="5929" width="9" style="30"/>
    <col min="5930" max="5930" width="13.75" style="30" customWidth="1"/>
    <col min="5931" max="5931" width="8.75" style="30" customWidth="1"/>
    <col min="5932" max="5934" width="4.5" style="30" customWidth="1"/>
    <col min="5935" max="5935" width="4" style="30" customWidth="1"/>
    <col min="5936" max="5936" width="3.75" style="30" customWidth="1"/>
    <col min="5937" max="5937" width="4.125" style="30" customWidth="1"/>
    <col min="5938" max="5938" width="3.75" style="30" customWidth="1"/>
    <col min="5939" max="5939" width="4.25" style="30" customWidth="1"/>
    <col min="5940" max="5940" width="4" style="30" customWidth="1"/>
    <col min="5941" max="5941" width="4.75" style="30" customWidth="1"/>
    <col min="5942" max="6144" width="9" style="30"/>
    <col min="6145" max="6145" width="5" style="30" customWidth="1"/>
    <col min="6146" max="6146" width="12.625" style="30" customWidth="1"/>
    <col min="6147" max="6147" width="12" style="30" customWidth="1"/>
    <col min="6148" max="6148" width="16.875" style="30" customWidth="1"/>
    <col min="6149" max="6150" width="4.125" style="30" customWidth="1"/>
    <col min="6151" max="6181" width="2.875" style="30" customWidth="1"/>
    <col min="6182" max="6183" width="4.125" style="30" customWidth="1"/>
    <col min="6184" max="6184" width="9.875" style="30" customWidth="1"/>
    <col min="6185" max="6185" width="9" style="30"/>
    <col min="6186" max="6186" width="13.75" style="30" customWidth="1"/>
    <col min="6187" max="6187" width="8.75" style="30" customWidth="1"/>
    <col min="6188" max="6190" width="4.5" style="30" customWidth="1"/>
    <col min="6191" max="6191" width="4" style="30" customWidth="1"/>
    <col min="6192" max="6192" width="3.75" style="30" customWidth="1"/>
    <col min="6193" max="6193" width="4.125" style="30" customWidth="1"/>
    <col min="6194" max="6194" width="3.75" style="30" customWidth="1"/>
    <col min="6195" max="6195" width="4.25" style="30" customWidth="1"/>
    <col min="6196" max="6196" width="4" style="30" customWidth="1"/>
    <col min="6197" max="6197" width="4.75" style="30" customWidth="1"/>
    <col min="6198" max="6400" width="9" style="30"/>
    <col min="6401" max="6401" width="5" style="30" customWidth="1"/>
    <col min="6402" max="6402" width="12.625" style="30" customWidth="1"/>
    <col min="6403" max="6403" width="12" style="30" customWidth="1"/>
    <col min="6404" max="6404" width="16.875" style="30" customWidth="1"/>
    <col min="6405" max="6406" width="4.125" style="30" customWidth="1"/>
    <col min="6407" max="6437" width="2.875" style="30" customWidth="1"/>
    <col min="6438" max="6439" width="4.125" style="30" customWidth="1"/>
    <col min="6440" max="6440" width="9.875" style="30" customWidth="1"/>
    <col min="6441" max="6441" width="9" style="30"/>
    <col min="6442" max="6442" width="13.75" style="30" customWidth="1"/>
    <col min="6443" max="6443" width="8.75" style="30" customWidth="1"/>
    <col min="6444" max="6446" width="4.5" style="30" customWidth="1"/>
    <col min="6447" max="6447" width="4" style="30" customWidth="1"/>
    <col min="6448" max="6448" width="3.75" style="30" customWidth="1"/>
    <col min="6449" max="6449" width="4.125" style="30" customWidth="1"/>
    <col min="6450" max="6450" width="3.75" style="30" customWidth="1"/>
    <col min="6451" max="6451" width="4.25" style="30" customWidth="1"/>
    <col min="6452" max="6452" width="4" style="30" customWidth="1"/>
    <col min="6453" max="6453" width="4.75" style="30" customWidth="1"/>
    <col min="6454" max="6656" width="9" style="30"/>
    <col min="6657" max="6657" width="5" style="30" customWidth="1"/>
    <col min="6658" max="6658" width="12.625" style="30" customWidth="1"/>
    <col min="6659" max="6659" width="12" style="30" customWidth="1"/>
    <col min="6660" max="6660" width="16.875" style="30" customWidth="1"/>
    <col min="6661" max="6662" width="4.125" style="30" customWidth="1"/>
    <col min="6663" max="6693" width="2.875" style="30" customWidth="1"/>
    <col min="6694" max="6695" width="4.125" style="30" customWidth="1"/>
    <col min="6696" max="6696" width="9.875" style="30" customWidth="1"/>
    <col min="6697" max="6697" width="9" style="30"/>
    <col min="6698" max="6698" width="13.75" style="30" customWidth="1"/>
    <col min="6699" max="6699" width="8.75" style="30" customWidth="1"/>
    <col min="6700" max="6702" width="4.5" style="30" customWidth="1"/>
    <col min="6703" max="6703" width="4" style="30" customWidth="1"/>
    <col min="6704" max="6704" width="3.75" style="30" customWidth="1"/>
    <col min="6705" max="6705" width="4.125" style="30" customWidth="1"/>
    <col min="6706" max="6706" width="3.75" style="30" customWidth="1"/>
    <col min="6707" max="6707" width="4.25" style="30" customWidth="1"/>
    <col min="6708" max="6708" width="4" style="30" customWidth="1"/>
    <col min="6709" max="6709" width="4.75" style="30" customWidth="1"/>
    <col min="6710" max="6912" width="9" style="30"/>
    <col min="6913" max="6913" width="5" style="30" customWidth="1"/>
    <col min="6914" max="6914" width="12.625" style="30" customWidth="1"/>
    <col min="6915" max="6915" width="12" style="30" customWidth="1"/>
    <col min="6916" max="6916" width="16.875" style="30" customWidth="1"/>
    <col min="6917" max="6918" width="4.125" style="30" customWidth="1"/>
    <col min="6919" max="6949" width="2.875" style="30" customWidth="1"/>
    <col min="6950" max="6951" width="4.125" style="30" customWidth="1"/>
    <col min="6952" max="6952" width="9.875" style="30" customWidth="1"/>
    <col min="6953" max="6953" width="9" style="30"/>
    <col min="6954" max="6954" width="13.75" style="30" customWidth="1"/>
    <col min="6955" max="6955" width="8.75" style="30" customWidth="1"/>
    <col min="6956" max="6958" width="4.5" style="30" customWidth="1"/>
    <col min="6959" max="6959" width="4" style="30" customWidth="1"/>
    <col min="6960" max="6960" width="3.75" style="30" customWidth="1"/>
    <col min="6961" max="6961" width="4.125" style="30" customWidth="1"/>
    <col min="6962" max="6962" width="3.75" style="30" customWidth="1"/>
    <col min="6963" max="6963" width="4.25" style="30" customWidth="1"/>
    <col min="6964" max="6964" width="4" style="30" customWidth="1"/>
    <col min="6965" max="6965" width="4.75" style="30" customWidth="1"/>
    <col min="6966" max="7168" width="9" style="30"/>
    <col min="7169" max="7169" width="5" style="30" customWidth="1"/>
    <col min="7170" max="7170" width="12.625" style="30" customWidth="1"/>
    <col min="7171" max="7171" width="12" style="30" customWidth="1"/>
    <col min="7172" max="7172" width="16.875" style="30" customWidth="1"/>
    <col min="7173" max="7174" width="4.125" style="30" customWidth="1"/>
    <col min="7175" max="7205" width="2.875" style="30" customWidth="1"/>
    <col min="7206" max="7207" width="4.125" style="30" customWidth="1"/>
    <col min="7208" max="7208" width="9.875" style="30" customWidth="1"/>
    <col min="7209" max="7209" width="9" style="30"/>
    <col min="7210" max="7210" width="13.75" style="30" customWidth="1"/>
    <col min="7211" max="7211" width="8.75" style="30" customWidth="1"/>
    <col min="7212" max="7214" width="4.5" style="30" customWidth="1"/>
    <col min="7215" max="7215" width="4" style="30" customWidth="1"/>
    <col min="7216" max="7216" width="3.75" style="30" customWidth="1"/>
    <col min="7217" max="7217" width="4.125" style="30" customWidth="1"/>
    <col min="7218" max="7218" width="3.75" style="30" customWidth="1"/>
    <col min="7219" max="7219" width="4.25" style="30" customWidth="1"/>
    <col min="7220" max="7220" width="4" style="30" customWidth="1"/>
    <col min="7221" max="7221" width="4.75" style="30" customWidth="1"/>
    <col min="7222" max="7424" width="9" style="30"/>
    <col min="7425" max="7425" width="5" style="30" customWidth="1"/>
    <col min="7426" max="7426" width="12.625" style="30" customWidth="1"/>
    <col min="7427" max="7427" width="12" style="30" customWidth="1"/>
    <col min="7428" max="7428" width="16.875" style="30" customWidth="1"/>
    <col min="7429" max="7430" width="4.125" style="30" customWidth="1"/>
    <col min="7431" max="7461" width="2.875" style="30" customWidth="1"/>
    <col min="7462" max="7463" width="4.125" style="30" customWidth="1"/>
    <col min="7464" max="7464" width="9.875" style="30" customWidth="1"/>
    <col min="7465" max="7465" width="9" style="30"/>
    <col min="7466" max="7466" width="13.75" style="30" customWidth="1"/>
    <col min="7467" max="7467" width="8.75" style="30" customWidth="1"/>
    <col min="7468" max="7470" width="4.5" style="30" customWidth="1"/>
    <col min="7471" max="7471" width="4" style="30" customWidth="1"/>
    <col min="7472" max="7472" width="3.75" style="30" customWidth="1"/>
    <col min="7473" max="7473" width="4.125" style="30" customWidth="1"/>
    <col min="7474" max="7474" width="3.75" style="30" customWidth="1"/>
    <col min="7475" max="7475" width="4.25" style="30" customWidth="1"/>
    <col min="7476" max="7476" width="4" style="30" customWidth="1"/>
    <col min="7477" max="7477" width="4.75" style="30" customWidth="1"/>
    <col min="7478" max="7680" width="9" style="30"/>
    <col min="7681" max="7681" width="5" style="30" customWidth="1"/>
    <col min="7682" max="7682" width="12.625" style="30" customWidth="1"/>
    <col min="7683" max="7683" width="12" style="30" customWidth="1"/>
    <col min="7684" max="7684" width="16.875" style="30" customWidth="1"/>
    <col min="7685" max="7686" width="4.125" style="30" customWidth="1"/>
    <col min="7687" max="7717" width="2.875" style="30" customWidth="1"/>
    <col min="7718" max="7719" width="4.125" style="30" customWidth="1"/>
    <col min="7720" max="7720" width="9.875" style="30" customWidth="1"/>
    <col min="7721" max="7721" width="9" style="30"/>
    <col min="7722" max="7722" width="13.75" style="30" customWidth="1"/>
    <col min="7723" max="7723" width="8.75" style="30" customWidth="1"/>
    <col min="7724" max="7726" width="4.5" style="30" customWidth="1"/>
    <col min="7727" max="7727" width="4" style="30" customWidth="1"/>
    <col min="7728" max="7728" width="3.75" style="30" customWidth="1"/>
    <col min="7729" max="7729" width="4.125" style="30" customWidth="1"/>
    <col min="7730" max="7730" width="3.75" style="30" customWidth="1"/>
    <col min="7731" max="7731" width="4.25" style="30" customWidth="1"/>
    <col min="7732" max="7732" width="4" style="30" customWidth="1"/>
    <col min="7733" max="7733" width="4.75" style="30" customWidth="1"/>
    <col min="7734" max="7936" width="9" style="30"/>
    <col min="7937" max="7937" width="5" style="30" customWidth="1"/>
    <col min="7938" max="7938" width="12.625" style="30" customWidth="1"/>
    <col min="7939" max="7939" width="12" style="30" customWidth="1"/>
    <col min="7940" max="7940" width="16.875" style="30" customWidth="1"/>
    <col min="7941" max="7942" width="4.125" style="30" customWidth="1"/>
    <col min="7943" max="7973" width="2.875" style="30" customWidth="1"/>
    <col min="7974" max="7975" width="4.125" style="30" customWidth="1"/>
    <col min="7976" max="7976" width="9.875" style="30" customWidth="1"/>
    <col min="7977" max="7977" width="9" style="30"/>
    <col min="7978" max="7978" width="13.75" style="30" customWidth="1"/>
    <col min="7979" max="7979" width="8.75" style="30" customWidth="1"/>
    <col min="7980" max="7982" width="4.5" style="30" customWidth="1"/>
    <col min="7983" max="7983" width="4" style="30" customWidth="1"/>
    <col min="7984" max="7984" width="3.75" style="30" customWidth="1"/>
    <col min="7985" max="7985" width="4.125" style="30" customWidth="1"/>
    <col min="7986" max="7986" width="3.75" style="30" customWidth="1"/>
    <col min="7987" max="7987" width="4.25" style="30" customWidth="1"/>
    <col min="7988" max="7988" width="4" style="30" customWidth="1"/>
    <col min="7989" max="7989" width="4.75" style="30" customWidth="1"/>
    <col min="7990" max="8192" width="9" style="30"/>
    <col min="8193" max="8193" width="5" style="30" customWidth="1"/>
    <col min="8194" max="8194" width="12.625" style="30" customWidth="1"/>
    <col min="8195" max="8195" width="12" style="30" customWidth="1"/>
    <col min="8196" max="8196" width="16.875" style="30" customWidth="1"/>
    <col min="8197" max="8198" width="4.125" style="30" customWidth="1"/>
    <col min="8199" max="8229" width="2.875" style="30" customWidth="1"/>
    <col min="8230" max="8231" width="4.125" style="30" customWidth="1"/>
    <col min="8232" max="8232" width="9.875" style="30" customWidth="1"/>
    <col min="8233" max="8233" width="9" style="30"/>
    <col min="8234" max="8234" width="13.75" style="30" customWidth="1"/>
    <col min="8235" max="8235" width="8.75" style="30" customWidth="1"/>
    <col min="8236" max="8238" width="4.5" style="30" customWidth="1"/>
    <col min="8239" max="8239" width="4" style="30" customWidth="1"/>
    <col min="8240" max="8240" width="3.75" style="30" customWidth="1"/>
    <col min="8241" max="8241" width="4.125" style="30" customWidth="1"/>
    <col min="8242" max="8242" width="3.75" style="30" customWidth="1"/>
    <col min="8243" max="8243" width="4.25" style="30" customWidth="1"/>
    <col min="8244" max="8244" width="4" style="30" customWidth="1"/>
    <col min="8245" max="8245" width="4.75" style="30" customWidth="1"/>
    <col min="8246" max="8448" width="9" style="30"/>
    <col min="8449" max="8449" width="5" style="30" customWidth="1"/>
    <col min="8450" max="8450" width="12.625" style="30" customWidth="1"/>
    <col min="8451" max="8451" width="12" style="30" customWidth="1"/>
    <col min="8452" max="8452" width="16.875" style="30" customWidth="1"/>
    <col min="8453" max="8454" width="4.125" style="30" customWidth="1"/>
    <col min="8455" max="8485" width="2.875" style="30" customWidth="1"/>
    <col min="8486" max="8487" width="4.125" style="30" customWidth="1"/>
    <col min="8488" max="8488" width="9.875" style="30" customWidth="1"/>
    <col min="8489" max="8489" width="9" style="30"/>
    <col min="8490" max="8490" width="13.75" style="30" customWidth="1"/>
    <col min="8491" max="8491" width="8.75" style="30" customWidth="1"/>
    <col min="8492" max="8494" width="4.5" style="30" customWidth="1"/>
    <col min="8495" max="8495" width="4" style="30" customWidth="1"/>
    <col min="8496" max="8496" width="3.75" style="30" customWidth="1"/>
    <col min="8497" max="8497" width="4.125" style="30" customWidth="1"/>
    <col min="8498" max="8498" width="3.75" style="30" customWidth="1"/>
    <col min="8499" max="8499" width="4.25" style="30" customWidth="1"/>
    <col min="8500" max="8500" width="4" style="30" customWidth="1"/>
    <col min="8501" max="8501" width="4.75" style="30" customWidth="1"/>
    <col min="8502" max="8704" width="9" style="30"/>
    <col min="8705" max="8705" width="5" style="30" customWidth="1"/>
    <col min="8706" max="8706" width="12.625" style="30" customWidth="1"/>
    <col min="8707" max="8707" width="12" style="30" customWidth="1"/>
    <col min="8708" max="8708" width="16.875" style="30" customWidth="1"/>
    <col min="8709" max="8710" width="4.125" style="30" customWidth="1"/>
    <col min="8711" max="8741" width="2.875" style="30" customWidth="1"/>
    <col min="8742" max="8743" width="4.125" style="30" customWidth="1"/>
    <col min="8744" max="8744" width="9.875" style="30" customWidth="1"/>
    <col min="8745" max="8745" width="9" style="30"/>
    <col min="8746" max="8746" width="13.75" style="30" customWidth="1"/>
    <col min="8747" max="8747" width="8.75" style="30" customWidth="1"/>
    <col min="8748" max="8750" width="4.5" style="30" customWidth="1"/>
    <col min="8751" max="8751" width="4" style="30" customWidth="1"/>
    <col min="8752" max="8752" width="3.75" style="30" customWidth="1"/>
    <col min="8753" max="8753" width="4.125" style="30" customWidth="1"/>
    <col min="8754" max="8754" width="3.75" style="30" customWidth="1"/>
    <col min="8755" max="8755" width="4.25" style="30" customWidth="1"/>
    <col min="8756" max="8756" width="4" style="30" customWidth="1"/>
    <col min="8757" max="8757" width="4.75" style="30" customWidth="1"/>
    <col min="8758" max="8960" width="9" style="30"/>
    <col min="8961" max="8961" width="5" style="30" customWidth="1"/>
    <col min="8962" max="8962" width="12.625" style="30" customWidth="1"/>
    <col min="8963" max="8963" width="12" style="30" customWidth="1"/>
    <col min="8964" max="8964" width="16.875" style="30" customWidth="1"/>
    <col min="8965" max="8966" width="4.125" style="30" customWidth="1"/>
    <col min="8967" max="8997" width="2.875" style="30" customWidth="1"/>
    <col min="8998" max="8999" width="4.125" style="30" customWidth="1"/>
    <col min="9000" max="9000" width="9.875" style="30" customWidth="1"/>
    <col min="9001" max="9001" width="9" style="30"/>
    <col min="9002" max="9002" width="13.75" style="30" customWidth="1"/>
    <col min="9003" max="9003" width="8.75" style="30" customWidth="1"/>
    <col min="9004" max="9006" width="4.5" style="30" customWidth="1"/>
    <col min="9007" max="9007" width="4" style="30" customWidth="1"/>
    <col min="9008" max="9008" width="3.75" style="30" customWidth="1"/>
    <col min="9009" max="9009" width="4.125" style="30" customWidth="1"/>
    <col min="9010" max="9010" width="3.75" style="30" customWidth="1"/>
    <col min="9011" max="9011" width="4.25" style="30" customWidth="1"/>
    <col min="9012" max="9012" width="4" style="30" customWidth="1"/>
    <col min="9013" max="9013" width="4.75" style="30" customWidth="1"/>
    <col min="9014" max="9216" width="9" style="30"/>
    <col min="9217" max="9217" width="5" style="30" customWidth="1"/>
    <col min="9218" max="9218" width="12.625" style="30" customWidth="1"/>
    <col min="9219" max="9219" width="12" style="30" customWidth="1"/>
    <col min="9220" max="9220" width="16.875" style="30" customWidth="1"/>
    <col min="9221" max="9222" width="4.125" style="30" customWidth="1"/>
    <col min="9223" max="9253" width="2.875" style="30" customWidth="1"/>
    <col min="9254" max="9255" width="4.125" style="30" customWidth="1"/>
    <col min="9256" max="9256" width="9.875" style="30" customWidth="1"/>
    <col min="9257" max="9257" width="9" style="30"/>
    <col min="9258" max="9258" width="13.75" style="30" customWidth="1"/>
    <col min="9259" max="9259" width="8.75" style="30" customWidth="1"/>
    <col min="9260" max="9262" width="4.5" style="30" customWidth="1"/>
    <col min="9263" max="9263" width="4" style="30" customWidth="1"/>
    <col min="9264" max="9264" width="3.75" style="30" customWidth="1"/>
    <col min="9265" max="9265" width="4.125" style="30" customWidth="1"/>
    <col min="9266" max="9266" width="3.75" style="30" customWidth="1"/>
    <col min="9267" max="9267" width="4.25" style="30" customWidth="1"/>
    <col min="9268" max="9268" width="4" style="30" customWidth="1"/>
    <col min="9269" max="9269" width="4.75" style="30" customWidth="1"/>
    <col min="9270" max="9472" width="9" style="30"/>
    <col min="9473" max="9473" width="5" style="30" customWidth="1"/>
    <col min="9474" max="9474" width="12.625" style="30" customWidth="1"/>
    <col min="9475" max="9475" width="12" style="30" customWidth="1"/>
    <col min="9476" max="9476" width="16.875" style="30" customWidth="1"/>
    <col min="9477" max="9478" width="4.125" style="30" customWidth="1"/>
    <col min="9479" max="9509" width="2.875" style="30" customWidth="1"/>
    <col min="9510" max="9511" width="4.125" style="30" customWidth="1"/>
    <col min="9512" max="9512" width="9.875" style="30" customWidth="1"/>
    <col min="9513" max="9513" width="9" style="30"/>
    <col min="9514" max="9514" width="13.75" style="30" customWidth="1"/>
    <col min="9515" max="9515" width="8.75" style="30" customWidth="1"/>
    <col min="9516" max="9518" width="4.5" style="30" customWidth="1"/>
    <col min="9519" max="9519" width="4" style="30" customWidth="1"/>
    <col min="9520" max="9520" width="3.75" style="30" customWidth="1"/>
    <col min="9521" max="9521" width="4.125" style="30" customWidth="1"/>
    <col min="9522" max="9522" width="3.75" style="30" customWidth="1"/>
    <col min="9523" max="9523" width="4.25" style="30" customWidth="1"/>
    <col min="9524" max="9524" width="4" style="30" customWidth="1"/>
    <col min="9525" max="9525" width="4.75" style="30" customWidth="1"/>
    <col min="9526" max="9728" width="9" style="30"/>
    <col min="9729" max="9729" width="5" style="30" customWidth="1"/>
    <col min="9730" max="9730" width="12.625" style="30" customWidth="1"/>
    <col min="9731" max="9731" width="12" style="30" customWidth="1"/>
    <col min="9732" max="9732" width="16.875" style="30" customWidth="1"/>
    <col min="9733" max="9734" width="4.125" style="30" customWidth="1"/>
    <col min="9735" max="9765" width="2.875" style="30" customWidth="1"/>
    <col min="9766" max="9767" width="4.125" style="30" customWidth="1"/>
    <col min="9768" max="9768" width="9.875" style="30" customWidth="1"/>
    <col min="9769" max="9769" width="9" style="30"/>
    <col min="9770" max="9770" width="13.75" style="30" customWidth="1"/>
    <col min="9771" max="9771" width="8.75" style="30" customWidth="1"/>
    <col min="9772" max="9774" width="4.5" style="30" customWidth="1"/>
    <col min="9775" max="9775" width="4" style="30" customWidth="1"/>
    <col min="9776" max="9776" width="3.75" style="30" customWidth="1"/>
    <col min="9777" max="9777" width="4.125" style="30" customWidth="1"/>
    <col min="9778" max="9778" width="3.75" style="30" customWidth="1"/>
    <col min="9779" max="9779" width="4.25" style="30" customWidth="1"/>
    <col min="9780" max="9780" width="4" style="30" customWidth="1"/>
    <col min="9781" max="9781" width="4.75" style="30" customWidth="1"/>
    <col min="9782" max="9984" width="9" style="30"/>
    <col min="9985" max="9985" width="5" style="30" customWidth="1"/>
    <col min="9986" max="9986" width="12.625" style="30" customWidth="1"/>
    <col min="9987" max="9987" width="12" style="30" customWidth="1"/>
    <col min="9988" max="9988" width="16.875" style="30" customWidth="1"/>
    <col min="9989" max="9990" width="4.125" style="30" customWidth="1"/>
    <col min="9991" max="10021" width="2.875" style="30" customWidth="1"/>
    <col min="10022" max="10023" width="4.125" style="30" customWidth="1"/>
    <col min="10024" max="10024" width="9.875" style="30" customWidth="1"/>
    <col min="10025" max="10025" width="9" style="30"/>
    <col min="10026" max="10026" width="13.75" style="30" customWidth="1"/>
    <col min="10027" max="10027" width="8.75" style="30" customWidth="1"/>
    <col min="10028" max="10030" width="4.5" style="30" customWidth="1"/>
    <col min="10031" max="10031" width="4" style="30" customWidth="1"/>
    <col min="10032" max="10032" width="3.75" style="30" customWidth="1"/>
    <col min="10033" max="10033" width="4.125" style="30" customWidth="1"/>
    <col min="10034" max="10034" width="3.75" style="30" customWidth="1"/>
    <col min="10035" max="10035" width="4.25" style="30" customWidth="1"/>
    <col min="10036" max="10036" width="4" style="30" customWidth="1"/>
    <col min="10037" max="10037" width="4.75" style="30" customWidth="1"/>
    <col min="10038" max="10240" width="9" style="30"/>
    <col min="10241" max="10241" width="5" style="30" customWidth="1"/>
    <col min="10242" max="10242" width="12.625" style="30" customWidth="1"/>
    <col min="10243" max="10243" width="12" style="30" customWidth="1"/>
    <col min="10244" max="10244" width="16.875" style="30" customWidth="1"/>
    <col min="10245" max="10246" width="4.125" style="30" customWidth="1"/>
    <col min="10247" max="10277" width="2.875" style="30" customWidth="1"/>
    <col min="10278" max="10279" width="4.125" style="30" customWidth="1"/>
    <col min="10280" max="10280" width="9.875" style="30" customWidth="1"/>
    <col min="10281" max="10281" width="9" style="30"/>
    <col min="10282" max="10282" width="13.75" style="30" customWidth="1"/>
    <col min="10283" max="10283" width="8.75" style="30" customWidth="1"/>
    <col min="10284" max="10286" width="4.5" style="30" customWidth="1"/>
    <col min="10287" max="10287" width="4" style="30" customWidth="1"/>
    <col min="10288" max="10288" width="3.75" style="30" customWidth="1"/>
    <col min="10289" max="10289" width="4.125" style="30" customWidth="1"/>
    <col min="10290" max="10290" width="3.75" style="30" customWidth="1"/>
    <col min="10291" max="10291" width="4.25" style="30" customWidth="1"/>
    <col min="10292" max="10292" width="4" style="30" customWidth="1"/>
    <col min="10293" max="10293" width="4.75" style="30" customWidth="1"/>
    <col min="10294" max="10496" width="9" style="30"/>
    <col min="10497" max="10497" width="5" style="30" customWidth="1"/>
    <col min="10498" max="10498" width="12.625" style="30" customWidth="1"/>
    <col min="10499" max="10499" width="12" style="30" customWidth="1"/>
    <col min="10500" max="10500" width="16.875" style="30" customWidth="1"/>
    <col min="10501" max="10502" width="4.125" style="30" customWidth="1"/>
    <col min="10503" max="10533" width="2.875" style="30" customWidth="1"/>
    <col min="10534" max="10535" width="4.125" style="30" customWidth="1"/>
    <col min="10536" max="10536" width="9.875" style="30" customWidth="1"/>
    <col min="10537" max="10537" width="9" style="30"/>
    <col min="10538" max="10538" width="13.75" style="30" customWidth="1"/>
    <col min="10539" max="10539" width="8.75" style="30" customWidth="1"/>
    <col min="10540" max="10542" width="4.5" style="30" customWidth="1"/>
    <col min="10543" max="10543" width="4" style="30" customWidth="1"/>
    <col min="10544" max="10544" width="3.75" style="30" customWidth="1"/>
    <col min="10545" max="10545" width="4.125" style="30" customWidth="1"/>
    <col min="10546" max="10546" width="3.75" style="30" customWidth="1"/>
    <col min="10547" max="10547" width="4.25" style="30" customWidth="1"/>
    <col min="10548" max="10548" width="4" style="30" customWidth="1"/>
    <col min="10549" max="10549" width="4.75" style="30" customWidth="1"/>
    <col min="10550" max="10752" width="9" style="30"/>
    <col min="10753" max="10753" width="5" style="30" customWidth="1"/>
    <col min="10754" max="10754" width="12.625" style="30" customWidth="1"/>
    <col min="10755" max="10755" width="12" style="30" customWidth="1"/>
    <col min="10756" max="10756" width="16.875" style="30" customWidth="1"/>
    <col min="10757" max="10758" width="4.125" style="30" customWidth="1"/>
    <col min="10759" max="10789" width="2.875" style="30" customWidth="1"/>
    <col min="10790" max="10791" width="4.125" style="30" customWidth="1"/>
    <col min="10792" max="10792" width="9.875" style="30" customWidth="1"/>
    <col min="10793" max="10793" width="9" style="30"/>
    <col min="10794" max="10794" width="13.75" style="30" customWidth="1"/>
    <col min="10795" max="10795" width="8.75" style="30" customWidth="1"/>
    <col min="10796" max="10798" width="4.5" style="30" customWidth="1"/>
    <col min="10799" max="10799" width="4" style="30" customWidth="1"/>
    <col min="10800" max="10800" width="3.75" style="30" customWidth="1"/>
    <col min="10801" max="10801" width="4.125" style="30" customWidth="1"/>
    <col min="10802" max="10802" width="3.75" style="30" customWidth="1"/>
    <col min="10803" max="10803" width="4.25" style="30" customWidth="1"/>
    <col min="10804" max="10804" width="4" style="30" customWidth="1"/>
    <col min="10805" max="10805" width="4.75" style="30" customWidth="1"/>
    <col min="10806" max="11008" width="9" style="30"/>
    <col min="11009" max="11009" width="5" style="30" customWidth="1"/>
    <col min="11010" max="11010" width="12.625" style="30" customWidth="1"/>
    <col min="11011" max="11011" width="12" style="30" customWidth="1"/>
    <col min="11012" max="11012" width="16.875" style="30" customWidth="1"/>
    <col min="11013" max="11014" width="4.125" style="30" customWidth="1"/>
    <col min="11015" max="11045" width="2.875" style="30" customWidth="1"/>
    <col min="11046" max="11047" width="4.125" style="30" customWidth="1"/>
    <col min="11048" max="11048" width="9.875" style="30" customWidth="1"/>
    <col min="11049" max="11049" width="9" style="30"/>
    <col min="11050" max="11050" width="13.75" style="30" customWidth="1"/>
    <col min="11051" max="11051" width="8.75" style="30" customWidth="1"/>
    <col min="11052" max="11054" width="4.5" style="30" customWidth="1"/>
    <col min="11055" max="11055" width="4" style="30" customWidth="1"/>
    <col min="11056" max="11056" width="3.75" style="30" customWidth="1"/>
    <col min="11057" max="11057" width="4.125" style="30" customWidth="1"/>
    <col min="11058" max="11058" width="3.75" style="30" customWidth="1"/>
    <col min="11059" max="11059" width="4.25" style="30" customWidth="1"/>
    <col min="11060" max="11060" width="4" style="30" customWidth="1"/>
    <col min="11061" max="11061" width="4.75" style="30" customWidth="1"/>
    <col min="11062" max="11264" width="9" style="30"/>
    <col min="11265" max="11265" width="5" style="30" customWidth="1"/>
    <col min="11266" max="11266" width="12.625" style="30" customWidth="1"/>
    <col min="11267" max="11267" width="12" style="30" customWidth="1"/>
    <col min="11268" max="11268" width="16.875" style="30" customWidth="1"/>
    <col min="11269" max="11270" width="4.125" style="30" customWidth="1"/>
    <col min="11271" max="11301" width="2.875" style="30" customWidth="1"/>
    <col min="11302" max="11303" width="4.125" style="30" customWidth="1"/>
    <col min="11304" max="11304" width="9.875" style="30" customWidth="1"/>
    <col min="11305" max="11305" width="9" style="30"/>
    <col min="11306" max="11306" width="13.75" style="30" customWidth="1"/>
    <col min="11307" max="11307" width="8.75" style="30" customWidth="1"/>
    <col min="11308" max="11310" width="4.5" style="30" customWidth="1"/>
    <col min="11311" max="11311" width="4" style="30" customWidth="1"/>
    <col min="11312" max="11312" width="3.75" style="30" customWidth="1"/>
    <col min="11313" max="11313" width="4.125" style="30" customWidth="1"/>
    <col min="11314" max="11314" width="3.75" style="30" customWidth="1"/>
    <col min="11315" max="11315" width="4.25" style="30" customWidth="1"/>
    <col min="11316" max="11316" width="4" style="30" customWidth="1"/>
    <col min="11317" max="11317" width="4.75" style="30" customWidth="1"/>
    <col min="11318" max="11520" width="9" style="30"/>
    <col min="11521" max="11521" width="5" style="30" customWidth="1"/>
    <col min="11522" max="11522" width="12.625" style="30" customWidth="1"/>
    <col min="11523" max="11523" width="12" style="30" customWidth="1"/>
    <col min="11524" max="11524" width="16.875" style="30" customWidth="1"/>
    <col min="11525" max="11526" width="4.125" style="30" customWidth="1"/>
    <col min="11527" max="11557" width="2.875" style="30" customWidth="1"/>
    <col min="11558" max="11559" width="4.125" style="30" customWidth="1"/>
    <col min="11560" max="11560" width="9.875" style="30" customWidth="1"/>
    <col min="11561" max="11561" width="9" style="30"/>
    <col min="11562" max="11562" width="13.75" style="30" customWidth="1"/>
    <col min="11563" max="11563" width="8.75" style="30" customWidth="1"/>
    <col min="11564" max="11566" width="4.5" style="30" customWidth="1"/>
    <col min="11567" max="11567" width="4" style="30" customWidth="1"/>
    <col min="11568" max="11568" width="3.75" style="30" customWidth="1"/>
    <col min="11569" max="11569" width="4.125" style="30" customWidth="1"/>
    <col min="11570" max="11570" width="3.75" style="30" customWidth="1"/>
    <col min="11571" max="11571" width="4.25" style="30" customWidth="1"/>
    <col min="11572" max="11572" width="4" style="30" customWidth="1"/>
    <col min="11573" max="11573" width="4.75" style="30" customWidth="1"/>
    <col min="11574" max="11776" width="9" style="30"/>
    <col min="11777" max="11777" width="5" style="30" customWidth="1"/>
    <col min="11778" max="11778" width="12.625" style="30" customWidth="1"/>
    <col min="11779" max="11779" width="12" style="30" customWidth="1"/>
    <col min="11780" max="11780" width="16.875" style="30" customWidth="1"/>
    <col min="11781" max="11782" width="4.125" style="30" customWidth="1"/>
    <col min="11783" max="11813" width="2.875" style="30" customWidth="1"/>
    <col min="11814" max="11815" width="4.125" style="30" customWidth="1"/>
    <col min="11816" max="11816" width="9.875" style="30" customWidth="1"/>
    <col min="11817" max="11817" width="9" style="30"/>
    <col min="11818" max="11818" width="13.75" style="30" customWidth="1"/>
    <col min="11819" max="11819" width="8.75" style="30" customWidth="1"/>
    <col min="11820" max="11822" width="4.5" style="30" customWidth="1"/>
    <col min="11823" max="11823" width="4" style="30" customWidth="1"/>
    <col min="11824" max="11824" width="3.75" style="30" customWidth="1"/>
    <col min="11825" max="11825" width="4.125" style="30" customWidth="1"/>
    <col min="11826" max="11826" width="3.75" style="30" customWidth="1"/>
    <col min="11827" max="11827" width="4.25" style="30" customWidth="1"/>
    <col min="11828" max="11828" width="4" style="30" customWidth="1"/>
    <col min="11829" max="11829" width="4.75" style="30" customWidth="1"/>
    <col min="11830" max="12032" width="9" style="30"/>
    <col min="12033" max="12033" width="5" style="30" customWidth="1"/>
    <col min="12034" max="12034" width="12.625" style="30" customWidth="1"/>
    <col min="12035" max="12035" width="12" style="30" customWidth="1"/>
    <col min="12036" max="12036" width="16.875" style="30" customWidth="1"/>
    <col min="12037" max="12038" width="4.125" style="30" customWidth="1"/>
    <col min="12039" max="12069" width="2.875" style="30" customWidth="1"/>
    <col min="12070" max="12071" width="4.125" style="30" customWidth="1"/>
    <col min="12072" max="12072" width="9.875" style="30" customWidth="1"/>
    <col min="12073" max="12073" width="9" style="30"/>
    <col min="12074" max="12074" width="13.75" style="30" customWidth="1"/>
    <col min="12075" max="12075" width="8.75" style="30" customWidth="1"/>
    <col min="12076" max="12078" width="4.5" style="30" customWidth="1"/>
    <col min="12079" max="12079" width="4" style="30" customWidth="1"/>
    <col min="12080" max="12080" width="3.75" style="30" customWidth="1"/>
    <col min="12081" max="12081" width="4.125" style="30" customWidth="1"/>
    <col min="12082" max="12082" width="3.75" style="30" customWidth="1"/>
    <col min="12083" max="12083" width="4.25" style="30" customWidth="1"/>
    <col min="12084" max="12084" width="4" style="30" customWidth="1"/>
    <col min="12085" max="12085" width="4.75" style="30" customWidth="1"/>
    <col min="12086" max="12288" width="9" style="30"/>
    <col min="12289" max="12289" width="5" style="30" customWidth="1"/>
    <col min="12290" max="12290" width="12.625" style="30" customWidth="1"/>
    <col min="12291" max="12291" width="12" style="30" customWidth="1"/>
    <col min="12292" max="12292" width="16.875" style="30" customWidth="1"/>
    <col min="12293" max="12294" width="4.125" style="30" customWidth="1"/>
    <col min="12295" max="12325" width="2.875" style="30" customWidth="1"/>
    <col min="12326" max="12327" width="4.125" style="30" customWidth="1"/>
    <col min="12328" max="12328" width="9.875" style="30" customWidth="1"/>
    <col min="12329" max="12329" width="9" style="30"/>
    <col min="12330" max="12330" width="13.75" style="30" customWidth="1"/>
    <col min="12331" max="12331" width="8.75" style="30" customWidth="1"/>
    <col min="12332" max="12334" width="4.5" style="30" customWidth="1"/>
    <col min="12335" max="12335" width="4" style="30" customWidth="1"/>
    <col min="12336" max="12336" width="3.75" style="30" customWidth="1"/>
    <col min="12337" max="12337" width="4.125" style="30" customWidth="1"/>
    <col min="12338" max="12338" width="3.75" style="30" customWidth="1"/>
    <col min="12339" max="12339" width="4.25" style="30" customWidth="1"/>
    <col min="12340" max="12340" width="4" style="30" customWidth="1"/>
    <col min="12341" max="12341" width="4.75" style="30" customWidth="1"/>
    <col min="12342" max="12544" width="9" style="30"/>
    <col min="12545" max="12545" width="5" style="30" customWidth="1"/>
    <col min="12546" max="12546" width="12.625" style="30" customWidth="1"/>
    <col min="12547" max="12547" width="12" style="30" customWidth="1"/>
    <col min="12548" max="12548" width="16.875" style="30" customWidth="1"/>
    <col min="12549" max="12550" width="4.125" style="30" customWidth="1"/>
    <col min="12551" max="12581" width="2.875" style="30" customWidth="1"/>
    <col min="12582" max="12583" width="4.125" style="30" customWidth="1"/>
    <col min="12584" max="12584" width="9.875" style="30" customWidth="1"/>
    <col min="12585" max="12585" width="9" style="30"/>
    <col min="12586" max="12586" width="13.75" style="30" customWidth="1"/>
    <col min="12587" max="12587" width="8.75" style="30" customWidth="1"/>
    <col min="12588" max="12590" width="4.5" style="30" customWidth="1"/>
    <col min="12591" max="12591" width="4" style="30" customWidth="1"/>
    <col min="12592" max="12592" width="3.75" style="30" customWidth="1"/>
    <col min="12593" max="12593" width="4.125" style="30" customWidth="1"/>
    <col min="12594" max="12594" width="3.75" style="30" customWidth="1"/>
    <col min="12595" max="12595" width="4.25" style="30" customWidth="1"/>
    <col min="12596" max="12596" width="4" style="30" customWidth="1"/>
    <col min="12597" max="12597" width="4.75" style="30" customWidth="1"/>
    <col min="12598" max="12800" width="9" style="30"/>
    <col min="12801" max="12801" width="5" style="30" customWidth="1"/>
    <col min="12802" max="12802" width="12.625" style="30" customWidth="1"/>
    <col min="12803" max="12803" width="12" style="30" customWidth="1"/>
    <col min="12804" max="12804" width="16.875" style="30" customWidth="1"/>
    <col min="12805" max="12806" width="4.125" style="30" customWidth="1"/>
    <col min="12807" max="12837" width="2.875" style="30" customWidth="1"/>
    <col min="12838" max="12839" width="4.125" style="30" customWidth="1"/>
    <col min="12840" max="12840" width="9.875" style="30" customWidth="1"/>
    <col min="12841" max="12841" width="9" style="30"/>
    <col min="12842" max="12842" width="13.75" style="30" customWidth="1"/>
    <col min="12843" max="12843" width="8.75" style="30" customWidth="1"/>
    <col min="12844" max="12846" width="4.5" style="30" customWidth="1"/>
    <col min="12847" max="12847" width="4" style="30" customWidth="1"/>
    <col min="12848" max="12848" width="3.75" style="30" customWidth="1"/>
    <col min="12849" max="12849" width="4.125" style="30" customWidth="1"/>
    <col min="12850" max="12850" width="3.75" style="30" customWidth="1"/>
    <col min="12851" max="12851" width="4.25" style="30" customWidth="1"/>
    <col min="12852" max="12852" width="4" style="30" customWidth="1"/>
    <col min="12853" max="12853" width="4.75" style="30" customWidth="1"/>
    <col min="12854" max="13056" width="9" style="30"/>
    <col min="13057" max="13057" width="5" style="30" customWidth="1"/>
    <col min="13058" max="13058" width="12.625" style="30" customWidth="1"/>
    <col min="13059" max="13059" width="12" style="30" customWidth="1"/>
    <col min="13060" max="13060" width="16.875" style="30" customWidth="1"/>
    <col min="13061" max="13062" width="4.125" style="30" customWidth="1"/>
    <col min="13063" max="13093" width="2.875" style="30" customWidth="1"/>
    <col min="13094" max="13095" width="4.125" style="30" customWidth="1"/>
    <col min="13096" max="13096" width="9.875" style="30" customWidth="1"/>
    <col min="13097" max="13097" width="9" style="30"/>
    <col min="13098" max="13098" width="13.75" style="30" customWidth="1"/>
    <col min="13099" max="13099" width="8.75" style="30" customWidth="1"/>
    <col min="13100" max="13102" width="4.5" style="30" customWidth="1"/>
    <col min="13103" max="13103" width="4" style="30" customWidth="1"/>
    <col min="13104" max="13104" width="3.75" style="30" customWidth="1"/>
    <col min="13105" max="13105" width="4.125" style="30" customWidth="1"/>
    <col min="13106" max="13106" width="3.75" style="30" customWidth="1"/>
    <col min="13107" max="13107" width="4.25" style="30" customWidth="1"/>
    <col min="13108" max="13108" width="4" style="30" customWidth="1"/>
    <col min="13109" max="13109" width="4.75" style="30" customWidth="1"/>
    <col min="13110" max="13312" width="9" style="30"/>
    <col min="13313" max="13313" width="5" style="30" customWidth="1"/>
    <col min="13314" max="13314" width="12.625" style="30" customWidth="1"/>
    <col min="13315" max="13315" width="12" style="30" customWidth="1"/>
    <col min="13316" max="13316" width="16.875" style="30" customWidth="1"/>
    <col min="13317" max="13318" width="4.125" style="30" customWidth="1"/>
    <col min="13319" max="13349" width="2.875" style="30" customWidth="1"/>
    <col min="13350" max="13351" width="4.125" style="30" customWidth="1"/>
    <col min="13352" max="13352" width="9.875" style="30" customWidth="1"/>
    <col min="13353" max="13353" width="9" style="30"/>
    <col min="13354" max="13354" width="13.75" style="30" customWidth="1"/>
    <col min="13355" max="13355" width="8.75" style="30" customWidth="1"/>
    <col min="13356" max="13358" width="4.5" style="30" customWidth="1"/>
    <col min="13359" max="13359" width="4" style="30" customWidth="1"/>
    <col min="13360" max="13360" width="3.75" style="30" customWidth="1"/>
    <col min="13361" max="13361" width="4.125" style="30" customWidth="1"/>
    <col min="13362" max="13362" width="3.75" style="30" customWidth="1"/>
    <col min="13363" max="13363" width="4.25" style="30" customWidth="1"/>
    <col min="13364" max="13364" width="4" style="30" customWidth="1"/>
    <col min="13365" max="13365" width="4.75" style="30" customWidth="1"/>
    <col min="13366" max="13568" width="9" style="30"/>
    <col min="13569" max="13569" width="5" style="30" customWidth="1"/>
    <col min="13570" max="13570" width="12.625" style="30" customWidth="1"/>
    <col min="13571" max="13571" width="12" style="30" customWidth="1"/>
    <col min="13572" max="13572" width="16.875" style="30" customWidth="1"/>
    <col min="13573" max="13574" width="4.125" style="30" customWidth="1"/>
    <col min="13575" max="13605" width="2.875" style="30" customWidth="1"/>
    <col min="13606" max="13607" width="4.125" style="30" customWidth="1"/>
    <col min="13608" max="13608" width="9.875" style="30" customWidth="1"/>
    <col min="13609" max="13609" width="9" style="30"/>
    <col min="13610" max="13610" width="13.75" style="30" customWidth="1"/>
    <col min="13611" max="13611" width="8.75" style="30" customWidth="1"/>
    <col min="13612" max="13614" width="4.5" style="30" customWidth="1"/>
    <col min="13615" max="13615" width="4" style="30" customWidth="1"/>
    <col min="13616" max="13616" width="3.75" style="30" customWidth="1"/>
    <col min="13617" max="13617" width="4.125" style="30" customWidth="1"/>
    <col min="13618" max="13618" width="3.75" style="30" customWidth="1"/>
    <col min="13619" max="13619" width="4.25" style="30" customWidth="1"/>
    <col min="13620" max="13620" width="4" style="30" customWidth="1"/>
    <col min="13621" max="13621" width="4.75" style="30" customWidth="1"/>
    <col min="13622" max="13824" width="9" style="30"/>
    <col min="13825" max="13825" width="5" style="30" customWidth="1"/>
    <col min="13826" max="13826" width="12.625" style="30" customWidth="1"/>
    <col min="13827" max="13827" width="12" style="30" customWidth="1"/>
    <col min="13828" max="13828" width="16.875" style="30" customWidth="1"/>
    <col min="13829" max="13830" width="4.125" style="30" customWidth="1"/>
    <col min="13831" max="13861" width="2.875" style="30" customWidth="1"/>
    <col min="13862" max="13863" width="4.125" style="30" customWidth="1"/>
    <col min="13864" max="13864" width="9.875" style="30" customWidth="1"/>
    <col min="13865" max="13865" width="9" style="30"/>
    <col min="13866" max="13866" width="13.75" style="30" customWidth="1"/>
    <col min="13867" max="13867" width="8.75" style="30" customWidth="1"/>
    <col min="13868" max="13870" width="4.5" style="30" customWidth="1"/>
    <col min="13871" max="13871" width="4" style="30" customWidth="1"/>
    <col min="13872" max="13872" width="3.75" style="30" customWidth="1"/>
    <col min="13873" max="13873" width="4.125" style="30" customWidth="1"/>
    <col min="13874" max="13874" width="3.75" style="30" customWidth="1"/>
    <col min="13875" max="13875" width="4.25" style="30" customWidth="1"/>
    <col min="13876" max="13876" width="4" style="30" customWidth="1"/>
    <col min="13877" max="13877" width="4.75" style="30" customWidth="1"/>
    <col min="13878" max="14080" width="9" style="30"/>
    <col min="14081" max="14081" width="5" style="30" customWidth="1"/>
    <col min="14082" max="14082" width="12.625" style="30" customWidth="1"/>
    <col min="14083" max="14083" width="12" style="30" customWidth="1"/>
    <col min="14084" max="14084" width="16.875" style="30" customWidth="1"/>
    <col min="14085" max="14086" width="4.125" style="30" customWidth="1"/>
    <col min="14087" max="14117" width="2.875" style="30" customWidth="1"/>
    <col min="14118" max="14119" width="4.125" style="30" customWidth="1"/>
    <col min="14120" max="14120" width="9.875" style="30" customWidth="1"/>
    <col min="14121" max="14121" width="9" style="30"/>
    <col min="14122" max="14122" width="13.75" style="30" customWidth="1"/>
    <col min="14123" max="14123" width="8.75" style="30" customWidth="1"/>
    <col min="14124" max="14126" width="4.5" style="30" customWidth="1"/>
    <col min="14127" max="14127" width="4" style="30" customWidth="1"/>
    <col min="14128" max="14128" width="3.75" style="30" customWidth="1"/>
    <col min="14129" max="14129" width="4.125" style="30" customWidth="1"/>
    <col min="14130" max="14130" width="3.75" style="30" customWidth="1"/>
    <col min="14131" max="14131" width="4.25" style="30" customWidth="1"/>
    <col min="14132" max="14132" width="4" style="30" customWidth="1"/>
    <col min="14133" max="14133" width="4.75" style="30" customWidth="1"/>
    <col min="14134" max="14336" width="9" style="30"/>
    <col min="14337" max="14337" width="5" style="30" customWidth="1"/>
    <col min="14338" max="14338" width="12.625" style="30" customWidth="1"/>
    <col min="14339" max="14339" width="12" style="30" customWidth="1"/>
    <col min="14340" max="14340" width="16.875" style="30" customWidth="1"/>
    <col min="14341" max="14342" width="4.125" style="30" customWidth="1"/>
    <col min="14343" max="14373" width="2.875" style="30" customWidth="1"/>
    <col min="14374" max="14375" width="4.125" style="30" customWidth="1"/>
    <col min="14376" max="14376" width="9.875" style="30" customWidth="1"/>
    <col min="14377" max="14377" width="9" style="30"/>
    <col min="14378" max="14378" width="13.75" style="30" customWidth="1"/>
    <col min="14379" max="14379" width="8.75" style="30" customWidth="1"/>
    <col min="14380" max="14382" width="4.5" style="30" customWidth="1"/>
    <col min="14383" max="14383" width="4" style="30" customWidth="1"/>
    <col min="14384" max="14384" width="3.75" style="30" customWidth="1"/>
    <col min="14385" max="14385" width="4.125" style="30" customWidth="1"/>
    <col min="14386" max="14386" width="3.75" style="30" customWidth="1"/>
    <col min="14387" max="14387" width="4.25" style="30" customWidth="1"/>
    <col min="14388" max="14388" width="4" style="30" customWidth="1"/>
    <col min="14389" max="14389" width="4.75" style="30" customWidth="1"/>
    <col min="14390" max="14592" width="9" style="30"/>
    <col min="14593" max="14593" width="5" style="30" customWidth="1"/>
    <col min="14594" max="14594" width="12.625" style="30" customWidth="1"/>
    <col min="14595" max="14595" width="12" style="30" customWidth="1"/>
    <col min="14596" max="14596" width="16.875" style="30" customWidth="1"/>
    <col min="14597" max="14598" width="4.125" style="30" customWidth="1"/>
    <col min="14599" max="14629" width="2.875" style="30" customWidth="1"/>
    <col min="14630" max="14631" width="4.125" style="30" customWidth="1"/>
    <col min="14632" max="14632" width="9.875" style="30" customWidth="1"/>
    <col min="14633" max="14633" width="9" style="30"/>
    <col min="14634" max="14634" width="13.75" style="30" customWidth="1"/>
    <col min="14635" max="14635" width="8.75" style="30" customWidth="1"/>
    <col min="14636" max="14638" width="4.5" style="30" customWidth="1"/>
    <col min="14639" max="14639" width="4" style="30" customWidth="1"/>
    <col min="14640" max="14640" width="3.75" style="30" customWidth="1"/>
    <col min="14641" max="14641" width="4.125" style="30" customWidth="1"/>
    <col min="14642" max="14642" width="3.75" style="30" customWidth="1"/>
    <col min="14643" max="14643" width="4.25" style="30" customWidth="1"/>
    <col min="14644" max="14644" width="4" style="30" customWidth="1"/>
    <col min="14645" max="14645" width="4.75" style="30" customWidth="1"/>
    <col min="14646" max="14848" width="9" style="30"/>
    <col min="14849" max="14849" width="5" style="30" customWidth="1"/>
    <col min="14850" max="14850" width="12.625" style="30" customWidth="1"/>
    <col min="14851" max="14851" width="12" style="30" customWidth="1"/>
    <col min="14852" max="14852" width="16.875" style="30" customWidth="1"/>
    <col min="14853" max="14854" width="4.125" style="30" customWidth="1"/>
    <col min="14855" max="14885" width="2.875" style="30" customWidth="1"/>
    <col min="14886" max="14887" width="4.125" style="30" customWidth="1"/>
    <col min="14888" max="14888" width="9.875" style="30" customWidth="1"/>
    <col min="14889" max="14889" width="9" style="30"/>
    <col min="14890" max="14890" width="13.75" style="30" customWidth="1"/>
    <col min="14891" max="14891" width="8.75" style="30" customWidth="1"/>
    <col min="14892" max="14894" width="4.5" style="30" customWidth="1"/>
    <col min="14895" max="14895" width="4" style="30" customWidth="1"/>
    <col min="14896" max="14896" width="3.75" style="30" customWidth="1"/>
    <col min="14897" max="14897" width="4.125" style="30" customWidth="1"/>
    <col min="14898" max="14898" width="3.75" style="30" customWidth="1"/>
    <col min="14899" max="14899" width="4.25" style="30" customWidth="1"/>
    <col min="14900" max="14900" width="4" style="30" customWidth="1"/>
    <col min="14901" max="14901" width="4.75" style="30" customWidth="1"/>
    <col min="14902" max="15104" width="9" style="30"/>
    <col min="15105" max="15105" width="5" style="30" customWidth="1"/>
    <col min="15106" max="15106" width="12.625" style="30" customWidth="1"/>
    <col min="15107" max="15107" width="12" style="30" customWidth="1"/>
    <col min="15108" max="15108" width="16.875" style="30" customWidth="1"/>
    <col min="15109" max="15110" width="4.125" style="30" customWidth="1"/>
    <col min="15111" max="15141" width="2.875" style="30" customWidth="1"/>
    <col min="15142" max="15143" width="4.125" style="30" customWidth="1"/>
    <col min="15144" max="15144" width="9.875" style="30" customWidth="1"/>
    <col min="15145" max="15145" width="9" style="30"/>
    <col min="15146" max="15146" width="13.75" style="30" customWidth="1"/>
    <col min="15147" max="15147" width="8.75" style="30" customWidth="1"/>
    <col min="15148" max="15150" width="4.5" style="30" customWidth="1"/>
    <col min="15151" max="15151" width="4" style="30" customWidth="1"/>
    <col min="15152" max="15152" width="3.75" style="30" customWidth="1"/>
    <col min="15153" max="15153" width="4.125" style="30" customWidth="1"/>
    <col min="15154" max="15154" width="3.75" style="30" customWidth="1"/>
    <col min="15155" max="15155" width="4.25" style="30" customWidth="1"/>
    <col min="15156" max="15156" width="4" style="30" customWidth="1"/>
    <col min="15157" max="15157" width="4.75" style="30" customWidth="1"/>
    <col min="15158" max="15360" width="9" style="30"/>
    <col min="15361" max="15361" width="5" style="30" customWidth="1"/>
    <col min="15362" max="15362" width="12.625" style="30" customWidth="1"/>
    <col min="15363" max="15363" width="12" style="30" customWidth="1"/>
    <col min="15364" max="15364" width="16.875" style="30" customWidth="1"/>
    <col min="15365" max="15366" width="4.125" style="30" customWidth="1"/>
    <col min="15367" max="15397" width="2.875" style="30" customWidth="1"/>
    <col min="15398" max="15399" width="4.125" style="30" customWidth="1"/>
    <col min="15400" max="15400" width="9.875" style="30" customWidth="1"/>
    <col min="15401" max="15401" width="9" style="30"/>
    <col min="15402" max="15402" width="13.75" style="30" customWidth="1"/>
    <col min="15403" max="15403" width="8.75" style="30" customWidth="1"/>
    <col min="15404" max="15406" width="4.5" style="30" customWidth="1"/>
    <col min="15407" max="15407" width="4" style="30" customWidth="1"/>
    <col min="15408" max="15408" width="3.75" style="30" customWidth="1"/>
    <col min="15409" max="15409" width="4.125" style="30" customWidth="1"/>
    <col min="15410" max="15410" width="3.75" style="30" customWidth="1"/>
    <col min="15411" max="15411" width="4.25" style="30" customWidth="1"/>
    <col min="15412" max="15412" width="4" style="30" customWidth="1"/>
    <col min="15413" max="15413" width="4.75" style="30" customWidth="1"/>
    <col min="15414" max="15616" width="9" style="30"/>
    <col min="15617" max="15617" width="5" style="30" customWidth="1"/>
    <col min="15618" max="15618" width="12.625" style="30" customWidth="1"/>
    <col min="15619" max="15619" width="12" style="30" customWidth="1"/>
    <col min="15620" max="15620" width="16.875" style="30" customWidth="1"/>
    <col min="15621" max="15622" width="4.125" style="30" customWidth="1"/>
    <col min="15623" max="15653" width="2.875" style="30" customWidth="1"/>
    <col min="15654" max="15655" width="4.125" style="30" customWidth="1"/>
    <col min="15656" max="15656" width="9.875" style="30" customWidth="1"/>
    <col min="15657" max="15657" width="9" style="30"/>
    <col min="15658" max="15658" width="13.75" style="30" customWidth="1"/>
    <col min="15659" max="15659" width="8.75" style="30" customWidth="1"/>
    <col min="15660" max="15662" width="4.5" style="30" customWidth="1"/>
    <col min="15663" max="15663" width="4" style="30" customWidth="1"/>
    <col min="15664" max="15664" width="3.75" style="30" customWidth="1"/>
    <col min="15665" max="15665" width="4.125" style="30" customWidth="1"/>
    <col min="15666" max="15666" width="3.75" style="30" customWidth="1"/>
    <col min="15667" max="15667" width="4.25" style="30" customWidth="1"/>
    <col min="15668" max="15668" width="4" style="30" customWidth="1"/>
    <col min="15669" max="15669" width="4.75" style="30" customWidth="1"/>
    <col min="15670" max="15872" width="9" style="30"/>
    <col min="15873" max="15873" width="5" style="30" customWidth="1"/>
    <col min="15874" max="15874" width="12.625" style="30" customWidth="1"/>
    <col min="15875" max="15875" width="12" style="30" customWidth="1"/>
    <col min="15876" max="15876" width="16.875" style="30" customWidth="1"/>
    <col min="15877" max="15878" width="4.125" style="30" customWidth="1"/>
    <col min="15879" max="15909" width="2.875" style="30" customWidth="1"/>
    <col min="15910" max="15911" width="4.125" style="30" customWidth="1"/>
    <col min="15912" max="15912" width="9.875" style="30" customWidth="1"/>
    <col min="15913" max="15913" width="9" style="30"/>
    <col min="15914" max="15914" width="13.75" style="30" customWidth="1"/>
    <col min="15915" max="15915" width="8.75" style="30" customWidth="1"/>
    <col min="15916" max="15918" width="4.5" style="30" customWidth="1"/>
    <col min="15919" max="15919" width="4" style="30" customWidth="1"/>
    <col min="15920" max="15920" width="3.75" style="30" customWidth="1"/>
    <col min="15921" max="15921" width="4.125" style="30" customWidth="1"/>
    <col min="15922" max="15922" width="3.75" style="30" customWidth="1"/>
    <col min="15923" max="15923" width="4.25" style="30" customWidth="1"/>
    <col min="15924" max="15924" width="4" style="30" customWidth="1"/>
    <col min="15925" max="15925" width="4.75" style="30" customWidth="1"/>
    <col min="15926" max="16128" width="9" style="30"/>
    <col min="16129" max="16129" width="5" style="30" customWidth="1"/>
    <col min="16130" max="16130" width="12.625" style="30" customWidth="1"/>
    <col min="16131" max="16131" width="12" style="30" customWidth="1"/>
    <col min="16132" max="16132" width="16.875" style="30" customWidth="1"/>
    <col min="16133" max="16134" width="4.125" style="30" customWidth="1"/>
    <col min="16135" max="16165" width="2.875" style="30" customWidth="1"/>
    <col min="16166" max="16167" width="4.125" style="30" customWidth="1"/>
    <col min="16168" max="16168" width="9.875" style="30" customWidth="1"/>
    <col min="16169" max="16169" width="9" style="30"/>
    <col min="16170" max="16170" width="13.75" style="30" customWidth="1"/>
    <col min="16171" max="16171" width="8.75" style="30" customWidth="1"/>
    <col min="16172" max="16174" width="4.5" style="30" customWidth="1"/>
    <col min="16175" max="16175" width="4" style="30" customWidth="1"/>
    <col min="16176" max="16176" width="3.75" style="30" customWidth="1"/>
    <col min="16177" max="16177" width="4.125" style="30" customWidth="1"/>
    <col min="16178" max="16178" width="3.75" style="30" customWidth="1"/>
    <col min="16179" max="16179" width="4.25" style="30" customWidth="1"/>
    <col min="16180" max="16180" width="4" style="30" customWidth="1"/>
    <col min="16181" max="16181" width="4.75" style="30" customWidth="1"/>
    <col min="16182" max="16384" width="9" style="30"/>
  </cols>
  <sheetData>
    <row r="1" spans="1:53" ht="30" customHeight="1" x14ac:dyDescent="0.45">
      <c r="A1" s="254" t="s">
        <v>97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X1" s="255" t="s">
        <v>33</v>
      </c>
      <c r="AY1" s="255"/>
      <c r="AZ1" s="255"/>
      <c r="BA1" s="255"/>
    </row>
    <row r="2" spans="1:53" s="31" customFormat="1" ht="20.45" customHeight="1" x14ac:dyDescent="0.5">
      <c r="A2" s="248" t="s">
        <v>109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R2" s="30"/>
      <c r="AS2" s="30"/>
      <c r="AT2" s="30"/>
      <c r="AU2" s="30"/>
      <c r="AV2" s="30"/>
      <c r="AW2" s="30" t="s">
        <v>34</v>
      </c>
      <c r="AX2" s="32" t="s">
        <v>35</v>
      </c>
      <c r="AY2" s="32" t="s">
        <v>16</v>
      </c>
      <c r="AZ2" s="32" t="s">
        <v>36</v>
      </c>
      <c r="BA2" s="32" t="s">
        <v>14</v>
      </c>
    </row>
    <row r="3" spans="1:53" ht="20.45" customHeight="1" x14ac:dyDescent="0.45">
      <c r="A3" s="256" t="s">
        <v>37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X3" s="33">
        <f>AX11</f>
        <v>0</v>
      </c>
      <c r="AY3" s="33">
        <f>AY11</f>
        <v>7</v>
      </c>
      <c r="AZ3" s="33">
        <f>AZ11</f>
        <v>0</v>
      </c>
      <c r="BA3" s="33">
        <f>BA11</f>
        <v>7</v>
      </c>
    </row>
    <row r="4" spans="1:53" s="35" customFormat="1" ht="20.45" customHeight="1" x14ac:dyDescent="0.2">
      <c r="A4" s="222" t="s">
        <v>38</v>
      </c>
      <c r="B4" s="236" t="s">
        <v>39</v>
      </c>
      <c r="C4" s="237"/>
      <c r="D4" s="28" t="s">
        <v>2</v>
      </c>
      <c r="E4" s="236" t="s">
        <v>40</v>
      </c>
      <c r="F4" s="237"/>
      <c r="G4" s="257" t="s">
        <v>41</v>
      </c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 t="s">
        <v>42</v>
      </c>
      <c r="AM4" s="273"/>
      <c r="AN4" s="10" t="s">
        <v>43</v>
      </c>
      <c r="AO4" s="10" t="s">
        <v>44</v>
      </c>
      <c r="AP4" s="10" t="s">
        <v>45</v>
      </c>
      <c r="AR4" s="36" t="s">
        <v>35</v>
      </c>
      <c r="AS4" s="36" t="s">
        <v>46</v>
      </c>
      <c r="AT4" s="36" t="s">
        <v>16</v>
      </c>
      <c r="AU4" s="36" t="s">
        <v>47</v>
      </c>
      <c r="AV4" s="36" t="s">
        <v>36</v>
      </c>
      <c r="AW4" s="37" t="s">
        <v>14</v>
      </c>
      <c r="AX4" s="260" t="s">
        <v>48</v>
      </c>
      <c r="AY4" s="261"/>
      <c r="AZ4" s="261"/>
      <c r="BA4" s="262"/>
    </row>
    <row r="5" spans="1:53" s="35" customFormat="1" ht="20.45" customHeight="1" x14ac:dyDescent="0.2">
      <c r="A5" s="224"/>
      <c r="B5" s="9"/>
      <c r="C5" s="38"/>
      <c r="D5" s="29"/>
      <c r="E5" s="6" t="s">
        <v>16</v>
      </c>
      <c r="F5" s="6" t="s">
        <v>14</v>
      </c>
      <c r="G5" s="39">
        <v>1</v>
      </c>
      <c r="H5" s="40">
        <v>2</v>
      </c>
      <c r="I5" s="41">
        <v>3</v>
      </c>
      <c r="J5" s="41">
        <v>4</v>
      </c>
      <c r="K5" s="42">
        <v>5</v>
      </c>
      <c r="L5" s="127">
        <v>6</v>
      </c>
      <c r="M5" s="128">
        <v>7</v>
      </c>
      <c r="N5" s="44">
        <v>8</v>
      </c>
      <c r="O5" s="43">
        <v>9</v>
      </c>
      <c r="P5" s="45">
        <v>10</v>
      </c>
      <c r="Q5" s="44">
        <v>11</v>
      </c>
      <c r="R5" s="43">
        <v>12</v>
      </c>
      <c r="S5" s="135">
        <v>13</v>
      </c>
      <c r="T5" s="127">
        <v>14</v>
      </c>
      <c r="U5" s="43">
        <v>15</v>
      </c>
      <c r="V5" s="43">
        <v>16</v>
      </c>
      <c r="W5" s="46">
        <v>17</v>
      </c>
      <c r="X5" s="45">
        <v>18</v>
      </c>
      <c r="Y5" s="44">
        <v>19</v>
      </c>
      <c r="Z5" s="127">
        <v>20</v>
      </c>
      <c r="AA5" s="136">
        <v>21</v>
      </c>
      <c r="AB5" s="137">
        <v>22</v>
      </c>
      <c r="AC5" s="43">
        <v>23</v>
      </c>
      <c r="AD5" s="44">
        <v>24</v>
      </c>
      <c r="AE5" s="44">
        <v>25</v>
      </c>
      <c r="AF5" s="44">
        <v>26</v>
      </c>
      <c r="AG5" s="127">
        <v>27</v>
      </c>
      <c r="AH5" s="136">
        <v>28</v>
      </c>
      <c r="AI5" s="137">
        <v>29</v>
      </c>
      <c r="AJ5" s="40">
        <v>30</v>
      </c>
      <c r="AK5" s="47">
        <v>31</v>
      </c>
      <c r="AL5" s="48" t="s">
        <v>16</v>
      </c>
      <c r="AM5" s="48" t="s">
        <v>14</v>
      </c>
      <c r="AN5" s="8" t="s">
        <v>49</v>
      </c>
      <c r="AO5" s="8" t="s">
        <v>50</v>
      </c>
      <c r="AP5" s="8" t="s">
        <v>51</v>
      </c>
      <c r="AR5" s="49"/>
      <c r="AS5" s="49"/>
      <c r="AT5" s="49"/>
      <c r="AU5" s="49"/>
      <c r="AV5" s="49"/>
      <c r="AW5" s="49"/>
      <c r="AX5" s="50" t="s">
        <v>35</v>
      </c>
      <c r="AY5" s="50" t="s">
        <v>16</v>
      </c>
      <c r="AZ5" s="50" t="s">
        <v>36</v>
      </c>
      <c r="BA5" s="50" t="s">
        <v>14</v>
      </c>
    </row>
    <row r="6" spans="1:53" s="64" customFormat="1" ht="20.45" customHeight="1" x14ac:dyDescent="0.2">
      <c r="A6" s="51">
        <v>1</v>
      </c>
      <c r="B6" s="52" t="s">
        <v>25</v>
      </c>
      <c r="C6" s="53" t="s">
        <v>26</v>
      </c>
      <c r="D6" s="54" t="s">
        <v>29</v>
      </c>
      <c r="E6" s="55">
        <v>720</v>
      </c>
      <c r="F6" s="55">
        <v>360</v>
      </c>
      <c r="G6" s="56"/>
      <c r="H6" s="57"/>
      <c r="I6" s="58" t="s">
        <v>14</v>
      </c>
      <c r="J6" s="58"/>
      <c r="K6" s="58"/>
      <c r="L6" s="129" t="s">
        <v>16</v>
      </c>
      <c r="M6" s="130"/>
      <c r="N6" s="58"/>
      <c r="O6" s="58"/>
      <c r="P6" s="57"/>
      <c r="Q6" s="58"/>
      <c r="R6" s="58"/>
      <c r="S6" s="129"/>
      <c r="T6" s="130" t="s">
        <v>16</v>
      </c>
      <c r="U6" s="58"/>
      <c r="V6" s="59"/>
      <c r="W6" s="57" t="s">
        <v>14</v>
      </c>
      <c r="X6" s="57"/>
      <c r="Y6" s="58"/>
      <c r="Z6" s="130"/>
      <c r="AA6" s="129" t="s">
        <v>16</v>
      </c>
      <c r="AB6" s="130"/>
      <c r="AC6" s="57"/>
      <c r="AD6" s="58"/>
      <c r="AE6" s="58"/>
      <c r="AF6" s="58" t="s">
        <v>14</v>
      </c>
      <c r="AG6" s="130"/>
      <c r="AH6" s="129"/>
      <c r="AI6" s="130"/>
      <c r="AJ6" s="58"/>
      <c r="AK6" s="60"/>
      <c r="AL6" s="61">
        <f>SUM(AY6)</f>
        <v>3</v>
      </c>
      <c r="AM6" s="61">
        <f>SUM(BA6)</f>
        <v>3</v>
      </c>
      <c r="AN6" s="62">
        <f>SUM(AL6*E6)+(F6*AM6)</f>
        <v>3240</v>
      </c>
      <c r="AO6" s="63"/>
      <c r="AP6" s="125" t="s">
        <v>63</v>
      </c>
      <c r="AR6" s="65">
        <f t="shared" ref="AR6:AR7" si="0">COUNTIF(G6:AK6,"ด")</f>
        <v>0</v>
      </c>
      <c r="AS6" s="65">
        <f t="shared" ref="AS6:AS7" si="1">COUNTIF(G6:AK6,"ด/บ")</f>
        <v>0</v>
      </c>
      <c r="AT6" s="65">
        <f t="shared" ref="AT6:AT7" si="2">COUNTIF(G6:AK6,"ช")</f>
        <v>3</v>
      </c>
      <c r="AU6" s="65">
        <f t="shared" ref="AU6:AU7" si="3">COUNTIF(G6:AK6,"ช/บ")</f>
        <v>0</v>
      </c>
      <c r="AV6" s="65">
        <f t="shared" ref="AV6:AV7" si="4">COUNTIF(G6:AK6,"บ")</f>
        <v>0</v>
      </c>
      <c r="AW6" s="65">
        <f t="shared" ref="AW6:AW7" si="5">COUNTIF(G6:AK6,"BD")</f>
        <v>3</v>
      </c>
      <c r="AX6" s="66">
        <f t="shared" ref="AX6:AX7" si="6">AR6+AS6</f>
        <v>0</v>
      </c>
      <c r="AY6" s="66">
        <f t="shared" ref="AY6:AY7" si="7">AT6+AU6</f>
        <v>3</v>
      </c>
      <c r="AZ6" s="66">
        <f t="shared" ref="AZ6:AZ7" si="8">AS6+AU6+AV6</f>
        <v>0</v>
      </c>
      <c r="BA6" s="66">
        <f>AW6</f>
        <v>3</v>
      </c>
    </row>
    <row r="7" spans="1:53" s="64" customFormat="1" ht="20.45" customHeight="1" x14ac:dyDescent="0.2">
      <c r="A7" s="67">
        <v>2</v>
      </c>
      <c r="B7" s="68" t="s">
        <v>27</v>
      </c>
      <c r="C7" s="69" t="s">
        <v>28</v>
      </c>
      <c r="D7" s="70" t="s">
        <v>13</v>
      </c>
      <c r="E7" s="71">
        <v>580</v>
      </c>
      <c r="F7" s="71">
        <v>290</v>
      </c>
      <c r="G7" s="72"/>
      <c r="H7" s="73"/>
      <c r="I7" s="74" t="s">
        <v>14</v>
      </c>
      <c r="J7" s="74" t="s">
        <v>14</v>
      </c>
      <c r="K7" s="74"/>
      <c r="L7" s="131"/>
      <c r="M7" s="132" t="s">
        <v>16</v>
      </c>
      <c r="N7" s="75"/>
      <c r="O7" s="74"/>
      <c r="P7" s="73" t="s">
        <v>14</v>
      </c>
      <c r="Q7" s="74"/>
      <c r="R7" s="74"/>
      <c r="S7" s="131" t="s">
        <v>16</v>
      </c>
      <c r="T7" s="132"/>
      <c r="U7" s="74"/>
      <c r="V7" s="74"/>
      <c r="W7" s="73"/>
      <c r="X7" s="73"/>
      <c r="Y7" s="74"/>
      <c r="Z7" s="132"/>
      <c r="AA7" s="131"/>
      <c r="AB7" s="132" t="s">
        <v>16</v>
      </c>
      <c r="AC7" s="73"/>
      <c r="AD7" s="74"/>
      <c r="AE7" s="74"/>
      <c r="AF7" s="74" t="s">
        <v>14</v>
      </c>
      <c r="AG7" s="132"/>
      <c r="AH7" s="131" t="s">
        <v>16</v>
      </c>
      <c r="AI7" s="132"/>
      <c r="AJ7" s="74"/>
      <c r="AK7" s="76"/>
      <c r="AL7" s="61">
        <f>SUM(AY7)</f>
        <v>4</v>
      </c>
      <c r="AM7" s="61">
        <f>SUM(BA7)</f>
        <v>4</v>
      </c>
      <c r="AN7" s="62">
        <f t="shared" ref="AN7" si="9">SUM(AL7*F7)</f>
        <v>1160</v>
      </c>
      <c r="AO7" s="77"/>
      <c r="AP7" s="126" t="s">
        <v>63</v>
      </c>
      <c r="AR7" s="65">
        <f t="shared" si="0"/>
        <v>0</v>
      </c>
      <c r="AS7" s="65">
        <f t="shared" si="1"/>
        <v>0</v>
      </c>
      <c r="AT7" s="65">
        <f t="shared" si="2"/>
        <v>4</v>
      </c>
      <c r="AU7" s="65">
        <f t="shared" si="3"/>
        <v>0</v>
      </c>
      <c r="AV7" s="65">
        <f t="shared" si="4"/>
        <v>0</v>
      </c>
      <c r="AW7" s="65">
        <f t="shared" si="5"/>
        <v>4</v>
      </c>
      <c r="AX7" s="66">
        <f t="shared" si="6"/>
        <v>0</v>
      </c>
      <c r="AY7" s="66">
        <f t="shared" si="7"/>
        <v>4</v>
      </c>
      <c r="AZ7" s="66">
        <f t="shared" si="8"/>
        <v>0</v>
      </c>
      <c r="BA7" s="66">
        <f t="shared" ref="BA7:BA8" si="10">AW7</f>
        <v>4</v>
      </c>
    </row>
    <row r="8" spans="1:53" s="64" customFormat="1" ht="20.45" customHeight="1" x14ac:dyDescent="0.2">
      <c r="A8" s="71"/>
      <c r="B8" s="78"/>
      <c r="C8" s="78"/>
      <c r="D8" s="79"/>
      <c r="E8" s="71"/>
      <c r="F8" s="71"/>
      <c r="G8" s="80"/>
      <c r="H8" s="81"/>
      <c r="I8" s="82"/>
      <c r="J8" s="82"/>
      <c r="K8" s="82"/>
      <c r="L8" s="133"/>
      <c r="M8" s="134"/>
      <c r="N8" s="82"/>
      <c r="O8" s="82"/>
      <c r="P8" s="81"/>
      <c r="Q8" s="82"/>
      <c r="R8" s="82"/>
      <c r="S8" s="133"/>
      <c r="T8" s="134"/>
      <c r="U8" s="82"/>
      <c r="V8" s="82"/>
      <c r="W8" s="81"/>
      <c r="X8" s="81"/>
      <c r="Y8" s="82"/>
      <c r="Z8" s="134"/>
      <c r="AA8" s="133"/>
      <c r="AB8" s="134"/>
      <c r="AC8" s="81"/>
      <c r="AD8" s="82"/>
      <c r="AE8" s="82"/>
      <c r="AF8" s="82"/>
      <c r="AG8" s="134"/>
      <c r="AH8" s="133"/>
      <c r="AI8" s="134"/>
      <c r="AJ8" s="82"/>
      <c r="AK8" s="83"/>
      <c r="AL8" s="84"/>
      <c r="AM8" s="84"/>
      <c r="AN8" s="85"/>
      <c r="AO8" s="71"/>
      <c r="AP8" s="86"/>
      <c r="AR8" s="65">
        <f>COUNTIF(G8:AK8,"ด")</f>
        <v>0</v>
      </c>
      <c r="AS8" s="65">
        <f>COUNTIF(G8:AK8,"ด/บ")</f>
        <v>0</v>
      </c>
      <c r="AT8" s="65">
        <f>COUNTIF(G8:AK8,"ช")</f>
        <v>0</v>
      </c>
      <c r="AU8" s="65">
        <f>COUNTIF(G8:AK8,"ช/บ")</f>
        <v>0</v>
      </c>
      <c r="AV8" s="65">
        <f>COUNTIF(G8:AK8,"บ")</f>
        <v>0</v>
      </c>
      <c r="AW8" s="65">
        <f>COUNTIF(G8:AK8,"BD")</f>
        <v>0</v>
      </c>
      <c r="AX8" s="66">
        <f>AR8+AS8</f>
        <v>0</v>
      </c>
      <c r="AY8" s="66">
        <f>AT8+AU8</f>
        <v>0</v>
      </c>
      <c r="AZ8" s="66">
        <f>AS8+AU8+AV8</f>
        <v>0</v>
      </c>
      <c r="BA8" s="66">
        <f t="shared" si="10"/>
        <v>0</v>
      </c>
    </row>
    <row r="9" spans="1:53" ht="20.45" customHeight="1" x14ac:dyDescent="0.45">
      <c r="A9" s="87"/>
      <c r="B9" s="88"/>
      <c r="C9" s="88"/>
      <c r="D9" s="89"/>
      <c r="E9" s="90"/>
      <c r="F9" s="90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263" t="s">
        <v>52</v>
      </c>
      <c r="AH9" s="263"/>
      <c r="AI9" s="263"/>
      <c r="AJ9" s="263"/>
      <c r="AK9" s="237"/>
      <c r="AL9" s="93">
        <f>SUM(AL6:AL8)</f>
        <v>7</v>
      </c>
      <c r="AM9" s="93">
        <f>SUM(AM6:AM8)</f>
        <v>7</v>
      </c>
      <c r="AN9" s="94">
        <f>SUM(AN6:AN8)</f>
        <v>4400</v>
      </c>
      <c r="AO9" s="95"/>
      <c r="AP9" s="96"/>
      <c r="AR9" s="97"/>
      <c r="AS9" s="97"/>
      <c r="AT9" s="97"/>
      <c r="AU9" s="97"/>
      <c r="AV9" s="97"/>
      <c r="AW9" s="97"/>
      <c r="AX9" s="98"/>
      <c r="AY9" s="98"/>
      <c r="AZ9" s="98"/>
      <c r="BA9" s="98"/>
    </row>
    <row r="10" spans="1:53" ht="13.5" customHeight="1" x14ac:dyDescent="0.45">
      <c r="A10" s="99"/>
      <c r="B10" s="100"/>
      <c r="C10" s="100"/>
      <c r="D10" s="101"/>
      <c r="E10" s="99"/>
      <c r="F10" s="99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3"/>
      <c r="AL10" s="104"/>
      <c r="AM10" s="104"/>
      <c r="AN10" s="105"/>
      <c r="AO10" s="99"/>
      <c r="AP10" s="14"/>
      <c r="AR10" s="106"/>
      <c r="AS10" s="106"/>
      <c r="AT10" s="106"/>
      <c r="AU10" s="106"/>
      <c r="AV10" s="106"/>
      <c r="AW10" s="106"/>
      <c r="AX10" s="107"/>
      <c r="AY10" s="107"/>
      <c r="AZ10" s="107"/>
      <c r="BA10" s="107"/>
    </row>
    <row r="11" spans="1:53" ht="24.75" customHeight="1" x14ac:dyDescent="0.45">
      <c r="A11" s="272" t="s">
        <v>53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64" t="str">
        <f>"("&amp;BAHTTEXT(AN9)&amp;")"</f>
        <v>(สี่พันสี่ร้อยบาทถ้วน)</v>
      </c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120"/>
      <c r="AG11" s="120"/>
      <c r="AH11" s="120"/>
      <c r="AI11" s="120"/>
      <c r="AJ11" s="120"/>
      <c r="AK11" s="120"/>
      <c r="AL11" s="108"/>
      <c r="AM11" s="108"/>
      <c r="AN11" s="13"/>
      <c r="AO11" s="13"/>
      <c r="AP11" s="13"/>
      <c r="AR11" s="106"/>
      <c r="AS11" s="106"/>
      <c r="AT11" s="106"/>
      <c r="AU11" s="106"/>
      <c r="AV11" s="106"/>
      <c r="AW11" s="106"/>
      <c r="AX11" s="109">
        <f>SUM(AX6:AX9)</f>
        <v>0</v>
      </c>
      <c r="AY11" s="109">
        <f>SUM(AY6:AY9)</f>
        <v>7</v>
      </c>
      <c r="AZ11" s="109">
        <f>SUM(AZ6:AZ9)</f>
        <v>0</v>
      </c>
      <c r="BA11" s="109">
        <f>SUM(BA6:BA9)</f>
        <v>7</v>
      </c>
    </row>
    <row r="12" spans="1:53" ht="11.25" customHeight="1" x14ac:dyDescent="0.45">
      <c r="A12" s="16"/>
      <c r="B12" s="16"/>
      <c r="C12" s="16"/>
      <c r="D12" s="110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11"/>
      <c r="AM12" s="111"/>
      <c r="AN12" s="16"/>
      <c r="AO12" s="16"/>
      <c r="AP12" s="16"/>
      <c r="AR12" s="106"/>
      <c r="AS12" s="106"/>
      <c r="AT12" s="106"/>
      <c r="AU12" s="106"/>
      <c r="AV12" s="106"/>
      <c r="AW12" s="106"/>
      <c r="AX12" s="112"/>
      <c r="AY12" s="112"/>
      <c r="AZ12" s="112"/>
      <c r="BA12" s="112"/>
    </row>
    <row r="13" spans="1:53" ht="20.45" customHeight="1" x14ac:dyDescent="0.45">
      <c r="A13" s="13"/>
      <c r="B13" s="13"/>
      <c r="C13" s="119"/>
      <c r="D13" s="119"/>
      <c r="E13" s="119" t="s">
        <v>58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1"/>
      <c r="AN13" s="113"/>
      <c r="AO13" s="13"/>
      <c r="AP13" s="13"/>
      <c r="AR13" s="106"/>
      <c r="AS13" s="106"/>
      <c r="AT13" s="106"/>
      <c r="AU13" s="106"/>
      <c r="AV13" s="106"/>
      <c r="AW13" s="106"/>
      <c r="AX13" s="112"/>
      <c r="AY13" s="112"/>
      <c r="AZ13" s="112"/>
      <c r="BA13" s="112"/>
    </row>
    <row r="14" spans="1:53" ht="20.45" customHeight="1" x14ac:dyDescent="0.45">
      <c r="A14" s="13"/>
      <c r="B14" s="13"/>
      <c r="C14" s="13"/>
      <c r="D14" s="110"/>
      <c r="E14" s="13"/>
      <c r="F14" s="1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11"/>
      <c r="AM14" s="111"/>
      <c r="AN14" s="113"/>
      <c r="AO14" s="13"/>
      <c r="AP14" s="13"/>
      <c r="AR14" s="106"/>
      <c r="AS14" s="106"/>
      <c r="AT14" s="106"/>
      <c r="AU14" s="106"/>
      <c r="AV14" s="106"/>
      <c r="AW14" s="106"/>
      <c r="AX14" s="112"/>
      <c r="AY14" s="112"/>
      <c r="AZ14" s="112"/>
      <c r="BA14" s="112"/>
    </row>
    <row r="15" spans="1:53" ht="20.45" customHeight="1" x14ac:dyDescent="0.45">
      <c r="A15" s="13"/>
      <c r="B15" s="13"/>
      <c r="C15" s="13"/>
      <c r="D15" s="110"/>
      <c r="E15" s="13"/>
      <c r="F15" s="13"/>
      <c r="G15" s="13"/>
      <c r="H15" s="13"/>
      <c r="I15" s="13"/>
      <c r="J15" s="13"/>
      <c r="K15" s="13"/>
      <c r="L15" s="13"/>
      <c r="M15" s="13"/>
      <c r="N15" s="13" t="s">
        <v>54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s">
        <v>55</v>
      </c>
      <c r="AI15" s="13"/>
      <c r="AJ15" s="13"/>
      <c r="AK15" s="13"/>
      <c r="AL15" s="108"/>
      <c r="AM15" s="108"/>
      <c r="AN15" s="13"/>
      <c r="AO15" s="13"/>
      <c r="AP15" s="13"/>
      <c r="AR15" s="106"/>
      <c r="AS15" s="106"/>
      <c r="AT15" s="106"/>
      <c r="AU15" s="106"/>
      <c r="AV15" s="106"/>
      <c r="AW15" s="106"/>
      <c r="AX15" s="112"/>
      <c r="AY15" s="112"/>
      <c r="AZ15" s="112"/>
      <c r="BA15" s="112"/>
    </row>
    <row r="16" spans="1:53" ht="20.45" customHeight="1" x14ac:dyDescent="0.45">
      <c r="A16" s="16"/>
      <c r="B16" s="110"/>
      <c r="C16" s="13"/>
      <c r="D16" s="110"/>
      <c r="E16" s="13"/>
      <c r="F16" s="13"/>
      <c r="G16" s="13"/>
      <c r="H16" s="13"/>
      <c r="I16" s="13"/>
      <c r="J16" s="13"/>
      <c r="K16" s="13"/>
      <c r="L16" s="13"/>
      <c r="M16" s="13"/>
      <c r="N16" s="13" t="s">
        <v>60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10"/>
      <c r="AF16" s="110"/>
      <c r="AG16" s="110"/>
      <c r="AH16" s="13" t="s">
        <v>56</v>
      </c>
      <c r="AI16" s="13"/>
      <c r="AJ16" s="13"/>
      <c r="AK16" s="13"/>
      <c r="AL16" s="108"/>
      <c r="AM16" s="108"/>
      <c r="AN16" s="13"/>
      <c r="AO16" s="13"/>
      <c r="AP16" s="110"/>
      <c r="AR16" s="106"/>
      <c r="AS16" s="106"/>
      <c r="AT16" s="106"/>
      <c r="AU16" s="106"/>
      <c r="AV16" s="106"/>
      <c r="AW16" s="106"/>
      <c r="AX16" s="112"/>
      <c r="AY16" s="112"/>
      <c r="AZ16" s="112"/>
      <c r="BA16" s="112"/>
    </row>
    <row r="17" spans="1:53" ht="23.25" customHeight="1" x14ac:dyDescent="0.45">
      <c r="A17" s="16"/>
      <c r="B17" s="110"/>
      <c r="C17" s="13"/>
      <c r="D17" s="110"/>
      <c r="E17" s="13"/>
      <c r="F17" s="13"/>
      <c r="G17" s="13"/>
      <c r="H17" s="13"/>
      <c r="I17" s="13"/>
      <c r="J17" s="13"/>
      <c r="K17" s="13"/>
      <c r="L17" s="13"/>
      <c r="M17" s="13"/>
      <c r="N17" s="248" t="s">
        <v>24</v>
      </c>
      <c r="O17" s="248"/>
      <c r="P17" s="248"/>
      <c r="Q17" s="248"/>
      <c r="R17" s="248"/>
      <c r="S17" s="248"/>
      <c r="T17" s="248"/>
      <c r="U17" s="248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08"/>
      <c r="AM17" s="108"/>
      <c r="AN17" s="113"/>
      <c r="AO17" s="13"/>
      <c r="AP17" s="13"/>
      <c r="AQ17" s="13"/>
      <c r="AS17" s="114"/>
      <c r="AT17" s="106"/>
      <c r="AU17" s="106"/>
      <c r="AV17" s="106"/>
      <c r="AW17" s="106"/>
      <c r="AX17" s="112"/>
      <c r="AY17" s="112"/>
      <c r="AZ17" s="112"/>
      <c r="BA17" s="112"/>
    </row>
    <row r="18" spans="1:53" ht="23.25" customHeight="1" x14ac:dyDescent="0.45">
      <c r="A18" s="16"/>
      <c r="B18" s="110"/>
      <c r="C18" s="13"/>
      <c r="D18" s="1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08"/>
      <c r="AM18" s="108"/>
      <c r="AN18" s="113"/>
      <c r="AO18" s="13"/>
      <c r="AP18" s="13"/>
      <c r="AQ18" s="13"/>
      <c r="AS18" s="114"/>
      <c r="AT18" s="106"/>
      <c r="AU18" s="106"/>
      <c r="AV18" s="106"/>
      <c r="AW18" s="106"/>
      <c r="AX18" s="112"/>
      <c r="AY18" s="112"/>
      <c r="AZ18" s="112"/>
      <c r="BA18" s="112"/>
    </row>
    <row r="19" spans="1:53" ht="23.25" customHeight="1" thickBot="1" x14ac:dyDescent="0.5">
      <c r="A19" s="16"/>
      <c r="B19" s="110"/>
      <c r="C19" s="16"/>
      <c r="D19" s="110"/>
      <c r="E19" s="13"/>
      <c r="F19" s="13"/>
      <c r="G19" s="13"/>
      <c r="H19" s="13"/>
      <c r="I19" s="13"/>
      <c r="J19" s="13"/>
      <c r="K19" s="13"/>
      <c r="L19" s="13"/>
      <c r="M19" s="13"/>
      <c r="N19" s="13" t="s">
        <v>57</v>
      </c>
      <c r="O19" s="16"/>
      <c r="P19" s="16"/>
      <c r="Q19" s="16"/>
      <c r="R19" s="16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08"/>
      <c r="AM19" s="108"/>
      <c r="AN19" s="113"/>
      <c r="AO19" s="13"/>
      <c r="AP19" s="13"/>
      <c r="AQ19" s="13"/>
      <c r="AT19" s="106"/>
      <c r="AU19" s="106"/>
      <c r="AV19" s="106"/>
      <c r="AW19" s="106"/>
      <c r="AX19" s="112"/>
      <c r="AY19" s="112"/>
      <c r="AZ19" s="112"/>
      <c r="BA19" s="112"/>
    </row>
    <row r="20" spans="1:53" ht="22.5" x14ac:dyDescent="0.45">
      <c r="A20" s="99"/>
      <c r="B20" s="101"/>
      <c r="C20" s="13"/>
      <c r="D20" s="13"/>
      <c r="E20" s="13"/>
      <c r="F20" s="265" t="s">
        <v>59</v>
      </c>
      <c r="G20" s="266"/>
      <c r="H20" s="266"/>
      <c r="I20" s="266"/>
      <c r="J20" s="266"/>
      <c r="K20" s="266"/>
      <c r="L20" s="267"/>
      <c r="M20" s="13"/>
      <c r="N20" s="248" t="s">
        <v>21</v>
      </c>
      <c r="O20" s="248"/>
      <c r="P20" s="248"/>
      <c r="Q20" s="248"/>
      <c r="R20" s="248"/>
      <c r="S20" s="248"/>
      <c r="T20" s="248"/>
      <c r="U20" s="248"/>
      <c r="V20" s="248"/>
      <c r="AD20" s="13"/>
      <c r="AE20" s="13"/>
      <c r="AF20" s="13"/>
      <c r="AG20" s="13"/>
      <c r="AH20" s="13"/>
      <c r="AI20" s="13"/>
      <c r="AJ20" s="13"/>
      <c r="AK20" s="13"/>
      <c r="AL20" s="108"/>
      <c r="AM20" s="108"/>
      <c r="AN20" s="13"/>
      <c r="AO20" s="13"/>
      <c r="AP20" s="13"/>
      <c r="AQ20" s="13"/>
      <c r="AX20" s="112"/>
      <c r="AY20" s="112"/>
      <c r="AZ20" s="112"/>
      <c r="BA20" s="112"/>
    </row>
    <row r="21" spans="1:53" ht="21.75" thickBot="1" x14ac:dyDescent="0.5">
      <c r="A21" s="14"/>
      <c r="B21" s="14"/>
      <c r="C21" s="14"/>
      <c r="D21" s="101"/>
      <c r="E21" s="14"/>
      <c r="F21" s="268"/>
      <c r="G21" s="269"/>
      <c r="H21" s="269"/>
      <c r="I21" s="269"/>
      <c r="J21" s="269"/>
      <c r="K21" s="269"/>
      <c r="L21" s="270"/>
      <c r="M21" s="14"/>
      <c r="N21" s="256" t="s">
        <v>23</v>
      </c>
      <c r="O21" s="256"/>
      <c r="P21" s="256"/>
      <c r="Q21" s="256"/>
      <c r="R21" s="256"/>
      <c r="S21" s="256"/>
      <c r="T21" s="256"/>
      <c r="U21" s="256"/>
      <c r="V21" s="256"/>
      <c r="AD21" s="14"/>
      <c r="AE21" s="14"/>
      <c r="AF21" s="14"/>
      <c r="AG21" s="14"/>
      <c r="AH21" s="14"/>
      <c r="AI21" s="14"/>
      <c r="AJ21" s="14"/>
      <c r="AK21" s="14"/>
      <c r="AL21" s="115"/>
      <c r="AM21" s="115"/>
      <c r="AN21" s="105"/>
      <c r="AO21" s="14"/>
      <c r="AP21" s="14"/>
    </row>
  </sheetData>
  <sheetProtection password="CEEF" sheet="1" formatCells="0" formatColumns="0" formatRows="0" insertColumns="0" insertRows="0" insertHyperlinks="0" deleteColumns="0" deleteRows="0" sort="0" autoFilter="0" pivotTables="0"/>
  <mergeCells count="17">
    <mergeCell ref="AX4:BA4"/>
    <mergeCell ref="AG9:AK9"/>
    <mergeCell ref="N20:V20"/>
    <mergeCell ref="A1:AP1"/>
    <mergeCell ref="AX1:BA1"/>
    <mergeCell ref="A2:AP2"/>
    <mergeCell ref="A3:AP3"/>
    <mergeCell ref="A4:A5"/>
    <mergeCell ref="B4:C4"/>
    <mergeCell ref="E4:F4"/>
    <mergeCell ref="G4:AK4"/>
    <mergeCell ref="AL4:AM4"/>
    <mergeCell ref="N21:V21"/>
    <mergeCell ref="A11:P11"/>
    <mergeCell ref="Q11:AE11"/>
    <mergeCell ref="F20:L21"/>
    <mergeCell ref="N17:U17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71" fitToHeight="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EC9-6319-4273-BD74-F1B885F99FD8}">
  <sheetPr>
    <tabColor theme="4" tint="0.59999389629810485"/>
    <pageSetUpPr fitToPage="1"/>
  </sheetPr>
  <dimension ref="A1:BA22"/>
  <sheetViews>
    <sheetView showGridLines="0" zoomScale="85" zoomScaleNormal="85" workbookViewId="0">
      <selection activeCell="L18" sqref="L18"/>
    </sheetView>
  </sheetViews>
  <sheetFormatPr defaultRowHeight="21" x14ac:dyDescent="0.45"/>
  <cols>
    <col min="1" max="1" width="5" style="30" customWidth="1"/>
    <col min="2" max="2" width="12.625" style="30" customWidth="1"/>
    <col min="3" max="3" width="12" style="30" customWidth="1"/>
    <col min="4" max="4" width="9.625" style="116" customWidth="1"/>
    <col min="5" max="5" width="4.125" style="30" customWidth="1"/>
    <col min="6" max="6" width="7.625" style="30" customWidth="1"/>
    <col min="7" max="37" width="4.375" style="30" customWidth="1"/>
    <col min="38" max="38" width="4.75" style="117" customWidth="1"/>
    <col min="39" max="40" width="9.875" style="118" customWidth="1"/>
    <col min="41" max="41" width="9" style="30"/>
    <col min="42" max="42" width="13.75" style="30" customWidth="1"/>
    <col min="43" max="43" width="8.75" style="30" customWidth="1"/>
    <col min="44" max="46" width="4.5" style="30" customWidth="1"/>
    <col min="47" max="47" width="4" style="30" customWidth="1"/>
    <col min="48" max="48" width="3.75" style="30" customWidth="1"/>
    <col min="49" max="49" width="4.125" style="30" customWidth="1"/>
    <col min="50" max="50" width="3.75" style="30" customWidth="1"/>
    <col min="51" max="51" width="4.25" style="30" customWidth="1"/>
    <col min="52" max="52" width="4" style="30" customWidth="1"/>
    <col min="53" max="53" width="4.75" style="30" customWidth="1"/>
    <col min="54" max="256" width="9" style="30"/>
    <col min="257" max="257" width="5" style="30" customWidth="1"/>
    <col min="258" max="258" width="12.625" style="30" customWidth="1"/>
    <col min="259" max="259" width="12" style="30" customWidth="1"/>
    <col min="260" max="260" width="16.875" style="30" customWidth="1"/>
    <col min="261" max="262" width="4.125" style="30" customWidth="1"/>
    <col min="263" max="293" width="2.875" style="30" customWidth="1"/>
    <col min="294" max="295" width="4.125" style="30" customWidth="1"/>
    <col min="296" max="296" width="9.875" style="30" customWidth="1"/>
    <col min="297" max="297" width="9" style="30"/>
    <col min="298" max="298" width="13.75" style="30" customWidth="1"/>
    <col min="299" max="299" width="8.75" style="30" customWidth="1"/>
    <col min="300" max="302" width="4.5" style="30" customWidth="1"/>
    <col min="303" max="303" width="4" style="30" customWidth="1"/>
    <col min="304" max="304" width="3.75" style="30" customWidth="1"/>
    <col min="305" max="305" width="4.125" style="30" customWidth="1"/>
    <col min="306" max="306" width="3.75" style="30" customWidth="1"/>
    <col min="307" max="307" width="4.25" style="30" customWidth="1"/>
    <col min="308" max="308" width="4" style="30" customWidth="1"/>
    <col min="309" max="309" width="4.75" style="30" customWidth="1"/>
    <col min="310" max="512" width="9" style="30"/>
    <col min="513" max="513" width="5" style="30" customWidth="1"/>
    <col min="514" max="514" width="12.625" style="30" customWidth="1"/>
    <col min="515" max="515" width="12" style="30" customWidth="1"/>
    <col min="516" max="516" width="16.875" style="30" customWidth="1"/>
    <col min="517" max="518" width="4.125" style="30" customWidth="1"/>
    <col min="519" max="549" width="2.875" style="30" customWidth="1"/>
    <col min="550" max="551" width="4.125" style="30" customWidth="1"/>
    <col min="552" max="552" width="9.875" style="30" customWidth="1"/>
    <col min="553" max="553" width="9" style="30"/>
    <col min="554" max="554" width="13.75" style="30" customWidth="1"/>
    <col min="555" max="555" width="8.75" style="30" customWidth="1"/>
    <col min="556" max="558" width="4.5" style="30" customWidth="1"/>
    <col min="559" max="559" width="4" style="30" customWidth="1"/>
    <col min="560" max="560" width="3.75" style="30" customWidth="1"/>
    <col min="561" max="561" width="4.125" style="30" customWidth="1"/>
    <col min="562" max="562" width="3.75" style="30" customWidth="1"/>
    <col min="563" max="563" width="4.25" style="30" customWidth="1"/>
    <col min="564" max="564" width="4" style="30" customWidth="1"/>
    <col min="565" max="565" width="4.75" style="30" customWidth="1"/>
    <col min="566" max="768" width="9" style="30"/>
    <col min="769" max="769" width="5" style="30" customWidth="1"/>
    <col min="770" max="770" width="12.625" style="30" customWidth="1"/>
    <col min="771" max="771" width="12" style="30" customWidth="1"/>
    <col min="772" max="772" width="16.875" style="30" customWidth="1"/>
    <col min="773" max="774" width="4.125" style="30" customWidth="1"/>
    <col min="775" max="805" width="2.875" style="30" customWidth="1"/>
    <col min="806" max="807" width="4.125" style="30" customWidth="1"/>
    <col min="808" max="808" width="9.875" style="30" customWidth="1"/>
    <col min="809" max="809" width="9" style="30"/>
    <col min="810" max="810" width="13.75" style="30" customWidth="1"/>
    <col min="811" max="811" width="8.75" style="30" customWidth="1"/>
    <col min="812" max="814" width="4.5" style="30" customWidth="1"/>
    <col min="815" max="815" width="4" style="30" customWidth="1"/>
    <col min="816" max="816" width="3.75" style="30" customWidth="1"/>
    <col min="817" max="817" width="4.125" style="30" customWidth="1"/>
    <col min="818" max="818" width="3.75" style="30" customWidth="1"/>
    <col min="819" max="819" width="4.25" style="30" customWidth="1"/>
    <col min="820" max="820" width="4" style="30" customWidth="1"/>
    <col min="821" max="821" width="4.75" style="30" customWidth="1"/>
    <col min="822" max="1024" width="9" style="30"/>
    <col min="1025" max="1025" width="5" style="30" customWidth="1"/>
    <col min="1026" max="1026" width="12.625" style="30" customWidth="1"/>
    <col min="1027" max="1027" width="12" style="30" customWidth="1"/>
    <col min="1028" max="1028" width="16.875" style="30" customWidth="1"/>
    <col min="1029" max="1030" width="4.125" style="30" customWidth="1"/>
    <col min="1031" max="1061" width="2.875" style="30" customWidth="1"/>
    <col min="1062" max="1063" width="4.125" style="30" customWidth="1"/>
    <col min="1064" max="1064" width="9.875" style="30" customWidth="1"/>
    <col min="1065" max="1065" width="9" style="30"/>
    <col min="1066" max="1066" width="13.75" style="30" customWidth="1"/>
    <col min="1067" max="1067" width="8.75" style="30" customWidth="1"/>
    <col min="1068" max="1070" width="4.5" style="30" customWidth="1"/>
    <col min="1071" max="1071" width="4" style="30" customWidth="1"/>
    <col min="1072" max="1072" width="3.75" style="30" customWidth="1"/>
    <col min="1073" max="1073" width="4.125" style="30" customWidth="1"/>
    <col min="1074" max="1074" width="3.75" style="30" customWidth="1"/>
    <col min="1075" max="1075" width="4.25" style="30" customWidth="1"/>
    <col min="1076" max="1076" width="4" style="30" customWidth="1"/>
    <col min="1077" max="1077" width="4.75" style="30" customWidth="1"/>
    <col min="1078" max="1280" width="9" style="30"/>
    <col min="1281" max="1281" width="5" style="30" customWidth="1"/>
    <col min="1282" max="1282" width="12.625" style="30" customWidth="1"/>
    <col min="1283" max="1283" width="12" style="30" customWidth="1"/>
    <col min="1284" max="1284" width="16.875" style="30" customWidth="1"/>
    <col min="1285" max="1286" width="4.125" style="30" customWidth="1"/>
    <col min="1287" max="1317" width="2.875" style="30" customWidth="1"/>
    <col min="1318" max="1319" width="4.125" style="30" customWidth="1"/>
    <col min="1320" max="1320" width="9.875" style="30" customWidth="1"/>
    <col min="1321" max="1321" width="9" style="30"/>
    <col min="1322" max="1322" width="13.75" style="30" customWidth="1"/>
    <col min="1323" max="1323" width="8.75" style="30" customWidth="1"/>
    <col min="1324" max="1326" width="4.5" style="30" customWidth="1"/>
    <col min="1327" max="1327" width="4" style="30" customWidth="1"/>
    <col min="1328" max="1328" width="3.75" style="30" customWidth="1"/>
    <col min="1329" max="1329" width="4.125" style="30" customWidth="1"/>
    <col min="1330" max="1330" width="3.75" style="30" customWidth="1"/>
    <col min="1331" max="1331" width="4.25" style="30" customWidth="1"/>
    <col min="1332" max="1332" width="4" style="30" customWidth="1"/>
    <col min="1333" max="1333" width="4.75" style="30" customWidth="1"/>
    <col min="1334" max="1536" width="9" style="30"/>
    <col min="1537" max="1537" width="5" style="30" customWidth="1"/>
    <col min="1538" max="1538" width="12.625" style="30" customWidth="1"/>
    <col min="1539" max="1539" width="12" style="30" customWidth="1"/>
    <col min="1540" max="1540" width="16.875" style="30" customWidth="1"/>
    <col min="1541" max="1542" width="4.125" style="30" customWidth="1"/>
    <col min="1543" max="1573" width="2.875" style="30" customWidth="1"/>
    <col min="1574" max="1575" width="4.125" style="30" customWidth="1"/>
    <col min="1576" max="1576" width="9.875" style="30" customWidth="1"/>
    <col min="1577" max="1577" width="9" style="30"/>
    <col min="1578" max="1578" width="13.75" style="30" customWidth="1"/>
    <col min="1579" max="1579" width="8.75" style="30" customWidth="1"/>
    <col min="1580" max="1582" width="4.5" style="30" customWidth="1"/>
    <col min="1583" max="1583" width="4" style="30" customWidth="1"/>
    <col min="1584" max="1584" width="3.75" style="30" customWidth="1"/>
    <col min="1585" max="1585" width="4.125" style="30" customWidth="1"/>
    <col min="1586" max="1586" width="3.75" style="30" customWidth="1"/>
    <col min="1587" max="1587" width="4.25" style="30" customWidth="1"/>
    <col min="1588" max="1588" width="4" style="30" customWidth="1"/>
    <col min="1589" max="1589" width="4.75" style="30" customWidth="1"/>
    <col min="1590" max="1792" width="9" style="30"/>
    <col min="1793" max="1793" width="5" style="30" customWidth="1"/>
    <col min="1794" max="1794" width="12.625" style="30" customWidth="1"/>
    <col min="1795" max="1795" width="12" style="30" customWidth="1"/>
    <col min="1796" max="1796" width="16.875" style="30" customWidth="1"/>
    <col min="1797" max="1798" width="4.125" style="30" customWidth="1"/>
    <col min="1799" max="1829" width="2.875" style="30" customWidth="1"/>
    <col min="1830" max="1831" width="4.125" style="30" customWidth="1"/>
    <col min="1832" max="1832" width="9.875" style="30" customWidth="1"/>
    <col min="1833" max="1833" width="9" style="30"/>
    <col min="1834" max="1834" width="13.75" style="30" customWidth="1"/>
    <col min="1835" max="1835" width="8.75" style="30" customWidth="1"/>
    <col min="1836" max="1838" width="4.5" style="30" customWidth="1"/>
    <col min="1839" max="1839" width="4" style="30" customWidth="1"/>
    <col min="1840" max="1840" width="3.75" style="30" customWidth="1"/>
    <col min="1841" max="1841" width="4.125" style="30" customWidth="1"/>
    <col min="1842" max="1842" width="3.75" style="30" customWidth="1"/>
    <col min="1843" max="1843" width="4.25" style="30" customWidth="1"/>
    <col min="1844" max="1844" width="4" style="30" customWidth="1"/>
    <col min="1845" max="1845" width="4.75" style="30" customWidth="1"/>
    <col min="1846" max="2048" width="9" style="30"/>
    <col min="2049" max="2049" width="5" style="30" customWidth="1"/>
    <col min="2050" max="2050" width="12.625" style="30" customWidth="1"/>
    <col min="2051" max="2051" width="12" style="30" customWidth="1"/>
    <col min="2052" max="2052" width="16.875" style="30" customWidth="1"/>
    <col min="2053" max="2054" width="4.125" style="30" customWidth="1"/>
    <col min="2055" max="2085" width="2.875" style="30" customWidth="1"/>
    <col min="2086" max="2087" width="4.125" style="30" customWidth="1"/>
    <col min="2088" max="2088" width="9.875" style="30" customWidth="1"/>
    <col min="2089" max="2089" width="9" style="30"/>
    <col min="2090" max="2090" width="13.75" style="30" customWidth="1"/>
    <col min="2091" max="2091" width="8.75" style="30" customWidth="1"/>
    <col min="2092" max="2094" width="4.5" style="30" customWidth="1"/>
    <col min="2095" max="2095" width="4" style="30" customWidth="1"/>
    <col min="2096" max="2096" width="3.75" style="30" customWidth="1"/>
    <col min="2097" max="2097" width="4.125" style="30" customWidth="1"/>
    <col min="2098" max="2098" width="3.75" style="30" customWidth="1"/>
    <col min="2099" max="2099" width="4.25" style="30" customWidth="1"/>
    <col min="2100" max="2100" width="4" style="30" customWidth="1"/>
    <col min="2101" max="2101" width="4.75" style="30" customWidth="1"/>
    <col min="2102" max="2304" width="9" style="30"/>
    <col min="2305" max="2305" width="5" style="30" customWidth="1"/>
    <col min="2306" max="2306" width="12.625" style="30" customWidth="1"/>
    <col min="2307" max="2307" width="12" style="30" customWidth="1"/>
    <col min="2308" max="2308" width="16.875" style="30" customWidth="1"/>
    <col min="2309" max="2310" width="4.125" style="30" customWidth="1"/>
    <col min="2311" max="2341" width="2.875" style="30" customWidth="1"/>
    <col min="2342" max="2343" width="4.125" style="30" customWidth="1"/>
    <col min="2344" max="2344" width="9.875" style="30" customWidth="1"/>
    <col min="2345" max="2345" width="9" style="30"/>
    <col min="2346" max="2346" width="13.75" style="30" customWidth="1"/>
    <col min="2347" max="2347" width="8.75" style="30" customWidth="1"/>
    <col min="2348" max="2350" width="4.5" style="30" customWidth="1"/>
    <col min="2351" max="2351" width="4" style="30" customWidth="1"/>
    <col min="2352" max="2352" width="3.75" style="30" customWidth="1"/>
    <col min="2353" max="2353" width="4.125" style="30" customWidth="1"/>
    <col min="2354" max="2354" width="3.75" style="30" customWidth="1"/>
    <col min="2355" max="2355" width="4.25" style="30" customWidth="1"/>
    <col min="2356" max="2356" width="4" style="30" customWidth="1"/>
    <col min="2357" max="2357" width="4.75" style="30" customWidth="1"/>
    <col min="2358" max="2560" width="9" style="30"/>
    <col min="2561" max="2561" width="5" style="30" customWidth="1"/>
    <col min="2562" max="2562" width="12.625" style="30" customWidth="1"/>
    <col min="2563" max="2563" width="12" style="30" customWidth="1"/>
    <col min="2564" max="2564" width="16.875" style="30" customWidth="1"/>
    <col min="2565" max="2566" width="4.125" style="30" customWidth="1"/>
    <col min="2567" max="2597" width="2.875" style="30" customWidth="1"/>
    <col min="2598" max="2599" width="4.125" style="30" customWidth="1"/>
    <col min="2600" max="2600" width="9.875" style="30" customWidth="1"/>
    <col min="2601" max="2601" width="9" style="30"/>
    <col min="2602" max="2602" width="13.75" style="30" customWidth="1"/>
    <col min="2603" max="2603" width="8.75" style="30" customWidth="1"/>
    <col min="2604" max="2606" width="4.5" style="30" customWidth="1"/>
    <col min="2607" max="2607" width="4" style="30" customWidth="1"/>
    <col min="2608" max="2608" width="3.75" style="30" customWidth="1"/>
    <col min="2609" max="2609" width="4.125" style="30" customWidth="1"/>
    <col min="2610" max="2610" width="3.75" style="30" customWidth="1"/>
    <col min="2611" max="2611" width="4.25" style="30" customWidth="1"/>
    <col min="2612" max="2612" width="4" style="30" customWidth="1"/>
    <col min="2613" max="2613" width="4.75" style="30" customWidth="1"/>
    <col min="2614" max="2816" width="9" style="30"/>
    <col min="2817" max="2817" width="5" style="30" customWidth="1"/>
    <col min="2818" max="2818" width="12.625" style="30" customWidth="1"/>
    <col min="2819" max="2819" width="12" style="30" customWidth="1"/>
    <col min="2820" max="2820" width="16.875" style="30" customWidth="1"/>
    <col min="2821" max="2822" width="4.125" style="30" customWidth="1"/>
    <col min="2823" max="2853" width="2.875" style="30" customWidth="1"/>
    <col min="2854" max="2855" width="4.125" style="30" customWidth="1"/>
    <col min="2856" max="2856" width="9.875" style="30" customWidth="1"/>
    <col min="2857" max="2857" width="9" style="30"/>
    <col min="2858" max="2858" width="13.75" style="30" customWidth="1"/>
    <col min="2859" max="2859" width="8.75" style="30" customWidth="1"/>
    <col min="2860" max="2862" width="4.5" style="30" customWidth="1"/>
    <col min="2863" max="2863" width="4" style="30" customWidth="1"/>
    <col min="2864" max="2864" width="3.75" style="30" customWidth="1"/>
    <col min="2865" max="2865" width="4.125" style="30" customWidth="1"/>
    <col min="2866" max="2866" width="3.75" style="30" customWidth="1"/>
    <col min="2867" max="2867" width="4.25" style="30" customWidth="1"/>
    <col min="2868" max="2868" width="4" style="30" customWidth="1"/>
    <col min="2869" max="2869" width="4.75" style="30" customWidth="1"/>
    <col min="2870" max="3072" width="9" style="30"/>
    <col min="3073" max="3073" width="5" style="30" customWidth="1"/>
    <col min="3074" max="3074" width="12.625" style="30" customWidth="1"/>
    <col min="3075" max="3075" width="12" style="30" customWidth="1"/>
    <col min="3076" max="3076" width="16.875" style="30" customWidth="1"/>
    <col min="3077" max="3078" width="4.125" style="30" customWidth="1"/>
    <col min="3079" max="3109" width="2.875" style="30" customWidth="1"/>
    <col min="3110" max="3111" width="4.125" style="30" customWidth="1"/>
    <col min="3112" max="3112" width="9.875" style="30" customWidth="1"/>
    <col min="3113" max="3113" width="9" style="30"/>
    <col min="3114" max="3114" width="13.75" style="30" customWidth="1"/>
    <col min="3115" max="3115" width="8.75" style="30" customWidth="1"/>
    <col min="3116" max="3118" width="4.5" style="30" customWidth="1"/>
    <col min="3119" max="3119" width="4" style="30" customWidth="1"/>
    <col min="3120" max="3120" width="3.75" style="30" customWidth="1"/>
    <col min="3121" max="3121" width="4.125" style="30" customWidth="1"/>
    <col min="3122" max="3122" width="3.75" style="30" customWidth="1"/>
    <col min="3123" max="3123" width="4.25" style="30" customWidth="1"/>
    <col min="3124" max="3124" width="4" style="30" customWidth="1"/>
    <col min="3125" max="3125" width="4.75" style="30" customWidth="1"/>
    <col min="3126" max="3328" width="9" style="30"/>
    <col min="3329" max="3329" width="5" style="30" customWidth="1"/>
    <col min="3330" max="3330" width="12.625" style="30" customWidth="1"/>
    <col min="3331" max="3331" width="12" style="30" customWidth="1"/>
    <col min="3332" max="3332" width="16.875" style="30" customWidth="1"/>
    <col min="3333" max="3334" width="4.125" style="30" customWidth="1"/>
    <col min="3335" max="3365" width="2.875" style="30" customWidth="1"/>
    <col min="3366" max="3367" width="4.125" style="30" customWidth="1"/>
    <col min="3368" max="3368" width="9.875" style="30" customWidth="1"/>
    <col min="3369" max="3369" width="9" style="30"/>
    <col min="3370" max="3370" width="13.75" style="30" customWidth="1"/>
    <col min="3371" max="3371" width="8.75" style="30" customWidth="1"/>
    <col min="3372" max="3374" width="4.5" style="30" customWidth="1"/>
    <col min="3375" max="3375" width="4" style="30" customWidth="1"/>
    <col min="3376" max="3376" width="3.75" style="30" customWidth="1"/>
    <col min="3377" max="3377" width="4.125" style="30" customWidth="1"/>
    <col min="3378" max="3378" width="3.75" style="30" customWidth="1"/>
    <col min="3379" max="3379" width="4.25" style="30" customWidth="1"/>
    <col min="3380" max="3380" width="4" style="30" customWidth="1"/>
    <col min="3381" max="3381" width="4.75" style="30" customWidth="1"/>
    <col min="3382" max="3584" width="9" style="30"/>
    <col min="3585" max="3585" width="5" style="30" customWidth="1"/>
    <col min="3586" max="3586" width="12.625" style="30" customWidth="1"/>
    <col min="3587" max="3587" width="12" style="30" customWidth="1"/>
    <col min="3588" max="3588" width="16.875" style="30" customWidth="1"/>
    <col min="3589" max="3590" width="4.125" style="30" customWidth="1"/>
    <col min="3591" max="3621" width="2.875" style="30" customWidth="1"/>
    <col min="3622" max="3623" width="4.125" style="30" customWidth="1"/>
    <col min="3624" max="3624" width="9.875" style="30" customWidth="1"/>
    <col min="3625" max="3625" width="9" style="30"/>
    <col min="3626" max="3626" width="13.75" style="30" customWidth="1"/>
    <col min="3627" max="3627" width="8.75" style="30" customWidth="1"/>
    <col min="3628" max="3630" width="4.5" style="30" customWidth="1"/>
    <col min="3631" max="3631" width="4" style="30" customWidth="1"/>
    <col min="3632" max="3632" width="3.75" style="30" customWidth="1"/>
    <col min="3633" max="3633" width="4.125" style="30" customWidth="1"/>
    <col min="3634" max="3634" width="3.75" style="30" customWidth="1"/>
    <col min="3635" max="3635" width="4.25" style="30" customWidth="1"/>
    <col min="3636" max="3636" width="4" style="30" customWidth="1"/>
    <col min="3637" max="3637" width="4.75" style="30" customWidth="1"/>
    <col min="3638" max="3840" width="9" style="30"/>
    <col min="3841" max="3841" width="5" style="30" customWidth="1"/>
    <col min="3842" max="3842" width="12.625" style="30" customWidth="1"/>
    <col min="3843" max="3843" width="12" style="30" customWidth="1"/>
    <col min="3844" max="3844" width="16.875" style="30" customWidth="1"/>
    <col min="3845" max="3846" width="4.125" style="30" customWidth="1"/>
    <col min="3847" max="3877" width="2.875" style="30" customWidth="1"/>
    <col min="3878" max="3879" width="4.125" style="30" customWidth="1"/>
    <col min="3880" max="3880" width="9.875" style="30" customWidth="1"/>
    <col min="3881" max="3881" width="9" style="30"/>
    <col min="3882" max="3882" width="13.75" style="30" customWidth="1"/>
    <col min="3883" max="3883" width="8.75" style="30" customWidth="1"/>
    <col min="3884" max="3886" width="4.5" style="30" customWidth="1"/>
    <col min="3887" max="3887" width="4" style="30" customWidth="1"/>
    <col min="3888" max="3888" width="3.75" style="30" customWidth="1"/>
    <col min="3889" max="3889" width="4.125" style="30" customWidth="1"/>
    <col min="3890" max="3890" width="3.75" style="30" customWidth="1"/>
    <col min="3891" max="3891" width="4.25" style="30" customWidth="1"/>
    <col min="3892" max="3892" width="4" style="30" customWidth="1"/>
    <col min="3893" max="3893" width="4.75" style="30" customWidth="1"/>
    <col min="3894" max="4096" width="9" style="30"/>
    <col min="4097" max="4097" width="5" style="30" customWidth="1"/>
    <col min="4098" max="4098" width="12.625" style="30" customWidth="1"/>
    <col min="4099" max="4099" width="12" style="30" customWidth="1"/>
    <col min="4100" max="4100" width="16.875" style="30" customWidth="1"/>
    <col min="4101" max="4102" width="4.125" style="30" customWidth="1"/>
    <col min="4103" max="4133" width="2.875" style="30" customWidth="1"/>
    <col min="4134" max="4135" width="4.125" style="30" customWidth="1"/>
    <col min="4136" max="4136" width="9.875" style="30" customWidth="1"/>
    <col min="4137" max="4137" width="9" style="30"/>
    <col min="4138" max="4138" width="13.75" style="30" customWidth="1"/>
    <col min="4139" max="4139" width="8.75" style="30" customWidth="1"/>
    <col min="4140" max="4142" width="4.5" style="30" customWidth="1"/>
    <col min="4143" max="4143" width="4" style="30" customWidth="1"/>
    <col min="4144" max="4144" width="3.75" style="30" customWidth="1"/>
    <col min="4145" max="4145" width="4.125" style="30" customWidth="1"/>
    <col min="4146" max="4146" width="3.75" style="30" customWidth="1"/>
    <col min="4147" max="4147" width="4.25" style="30" customWidth="1"/>
    <col min="4148" max="4148" width="4" style="30" customWidth="1"/>
    <col min="4149" max="4149" width="4.75" style="30" customWidth="1"/>
    <col min="4150" max="4352" width="9" style="30"/>
    <col min="4353" max="4353" width="5" style="30" customWidth="1"/>
    <col min="4354" max="4354" width="12.625" style="30" customWidth="1"/>
    <col min="4355" max="4355" width="12" style="30" customWidth="1"/>
    <col min="4356" max="4356" width="16.875" style="30" customWidth="1"/>
    <col min="4357" max="4358" width="4.125" style="30" customWidth="1"/>
    <col min="4359" max="4389" width="2.875" style="30" customWidth="1"/>
    <col min="4390" max="4391" width="4.125" style="30" customWidth="1"/>
    <col min="4392" max="4392" width="9.875" style="30" customWidth="1"/>
    <col min="4393" max="4393" width="9" style="30"/>
    <col min="4394" max="4394" width="13.75" style="30" customWidth="1"/>
    <col min="4395" max="4395" width="8.75" style="30" customWidth="1"/>
    <col min="4396" max="4398" width="4.5" style="30" customWidth="1"/>
    <col min="4399" max="4399" width="4" style="30" customWidth="1"/>
    <col min="4400" max="4400" width="3.75" style="30" customWidth="1"/>
    <col min="4401" max="4401" width="4.125" style="30" customWidth="1"/>
    <col min="4402" max="4402" width="3.75" style="30" customWidth="1"/>
    <col min="4403" max="4403" width="4.25" style="30" customWidth="1"/>
    <col min="4404" max="4404" width="4" style="30" customWidth="1"/>
    <col min="4405" max="4405" width="4.75" style="30" customWidth="1"/>
    <col min="4406" max="4608" width="9" style="30"/>
    <col min="4609" max="4609" width="5" style="30" customWidth="1"/>
    <col min="4610" max="4610" width="12.625" style="30" customWidth="1"/>
    <col min="4611" max="4611" width="12" style="30" customWidth="1"/>
    <col min="4612" max="4612" width="16.875" style="30" customWidth="1"/>
    <col min="4613" max="4614" width="4.125" style="30" customWidth="1"/>
    <col min="4615" max="4645" width="2.875" style="30" customWidth="1"/>
    <col min="4646" max="4647" width="4.125" style="30" customWidth="1"/>
    <col min="4648" max="4648" width="9.875" style="30" customWidth="1"/>
    <col min="4649" max="4649" width="9" style="30"/>
    <col min="4650" max="4650" width="13.75" style="30" customWidth="1"/>
    <col min="4651" max="4651" width="8.75" style="30" customWidth="1"/>
    <col min="4652" max="4654" width="4.5" style="30" customWidth="1"/>
    <col min="4655" max="4655" width="4" style="30" customWidth="1"/>
    <col min="4656" max="4656" width="3.75" style="30" customWidth="1"/>
    <col min="4657" max="4657" width="4.125" style="30" customWidth="1"/>
    <col min="4658" max="4658" width="3.75" style="30" customWidth="1"/>
    <col min="4659" max="4659" width="4.25" style="30" customWidth="1"/>
    <col min="4660" max="4660" width="4" style="30" customWidth="1"/>
    <col min="4661" max="4661" width="4.75" style="30" customWidth="1"/>
    <col min="4662" max="4864" width="9" style="30"/>
    <col min="4865" max="4865" width="5" style="30" customWidth="1"/>
    <col min="4866" max="4866" width="12.625" style="30" customWidth="1"/>
    <col min="4867" max="4867" width="12" style="30" customWidth="1"/>
    <col min="4868" max="4868" width="16.875" style="30" customWidth="1"/>
    <col min="4869" max="4870" width="4.125" style="30" customWidth="1"/>
    <col min="4871" max="4901" width="2.875" style="30" customWidth="1"/>
    <col min="4902" max="4903" width="4.125" style="30" customWidth="1"/>
    <col min="4904" max="4904" width="9.875" style="30" customWidth="1"/>
    <col min="4905" max="4905" width="9" style="30"/>
    <col min="4906" max="4906" width="13.75" style="30" customWidth="1"/>
    <col min="4907" max="4907" width="8.75" style="30" customWidth="1"/>
    <col min="4908" max="4910" width="4.5" style="30" customWidth="1"/>
    <col min="4911" max="4911" width="4" style="30" customWidth="1"/>
    <col min="4912" max="4912" width="3.75" style="30" customWidth="1"/>
    <col min="4913" max="4913" width="4.125" style="30" customWidth="1"/>
    <col min="4914" max="4914" width="3.75" style="30" customWidth="1"/>
    <col min="4915" max="4915" width="4.25" style="30" customWidth="1"/>
    <col min="4916" max="4916" width="4" style="30" customWidth="1"/>
    <col min="4917" max="4917" width="4.75" style="30" customWidth="1"/>
    <col min="4918" max="5120" width="9" style="30"/>
    <col min="5121" max="5121" width="5" style="30" customWidth="1"/>
    <col min="5122" max="5122" width="12.625" style="30" customWidth="1"/>
    <col min="5123" max="5123" width="12" style="30" customWidth="1"/>
    <col min="5124" max="5124" width="16.875" style="30" customWidth="1"/>
    <col min="5125" max="5126" width="4.125" style="30" customWidth="1"/>
    <col min="5127" max="5157" width="2.875" style="30" customWidth="1"/>
    <col min="5158" max="5159" width="4.125" style="30" customWidth="1"/>
    <col min="5160" max="5160" width="9.875" style="30" customWidth="1"/>
    <col min="5161" max="5161" width="9" style="30"/>
    <col min="5162" max="5162" width="13.75" style="30" customWidth="1"/>
    <col min="5163" max="5163" width="8.75" style="30" customWidth="1"/>
    <col min="5164" max="5166" width="4.5" style="30" customWidth="1"/>
    <col min="5167" max="5167" width="4" style="30" customWidth="1"/>
    <col min="5168" max="5168" width="3.75" style="30" customWidth="1"/>
    <col min="5169" max="5169" width="4.125" style="30" customWidth="1"/>
    <col min="5170" max="5170" width="3.75" style="30" customWidth="1"/>
    <col min="5171" max="5171" width="4.25" style="30" customWidth="1"/>
    <col min="5172" max="5172" width="4" style="30" customWidth="1"/>
    <col min="5173" max="5173" width="4.75" style="30" customWidth="1"/>
    <col min="5174" max="5376" width="9" style="30"/>
    <col min="5377" max="5377" width="5" style="30" customWidth="1"/>
    <col min="5378" max="5378" width="12.625" style="30" customWidth="1"/>
    <col min="5379" max="5379" width="12" style="30" customWidth="1"/>
    <col min="5380" max="5380" width="16.875" style="30" customWidth="1"/>
    <col min="5381" max="5382" width="4.125" style="30" customWidth="1"/>
    <col min="5383" max="5413" width="2.875" style="30" customWidth="1"/>
    <col min="5414" max="5415" width="4.125" style="30" customWidth="1"/>
    <col min="5416" max="5416" width="9.875" style="30" customWidth="1"/>
    <col min="5417" max="5417" width="9" style="30"/>
    <col min="5418" max="5418" width="13.75" style="30" customWidth="1"/>
    <col min="5419" max="5419" width="8.75" style="30" customWidth="1"/>
    <col min="5420" max="5422" width="4.5" style="30" customWidth="1"/>
    <col min="5423" max="5423" width="4" style="30" customWidth="1"/>
    <col min="5424" max="5424" width="3.75" style="30" customWidth="1"/>
    <col min="5425" max="5425" width="4.125" style="30" customWidth="1"/>
    <col min="5426" max="5426" width="3.75" style="30" customWidth="1"/>
    <col min="5427" max="5427" width="4.25" style="30" customWidth="1"/>
    <col min="5428" max="5428" width="4" style="30" customWidth="1"/>
    <col min="5429" max="5429" width="4.75" style="30" customWidth="1"/>
    <col min="5430" max="5632" width="9" style="30"/>
    <col min="5633" max="5633" width="5" style="30" customWidth="1"/>
    <col min="5634" max="5634" width="12.625" style="30" customWidth="1"/>
    <col min="5635" max="5635" width="12" style="30" customWidth="1"/>
    <col min="5636" max="5636" width="16.875" style="30" customWidth="1"/>
    <col min="5637" max="5638" width="4.125" style="30" customWidth="1"/>
    <col min="5639" max="5669" width="2.875" style="30" customWidth="1"/>
    <col min="5670" max="5671" width="4.125" style="30" customWidth="1"/>
    <col min="5672" max="5672" width="9.875" style="30" customWidth="1"/>
    <col min="5673" max="5673" width="9" style="30"/>
    <col min="5674" max="5674" width="13.75" style="30" customWidth="1"/>
    <col min="5675" max="5675" width="8.75" style="30" customWidth="1"/>
    <col min="5676" max="5678" width="4.5" style="30" customWidth="1"/>
    <col min="5679" max="5679" width="4" style="30" customWidth="1"/>
    <col min="5680" max="5680" width="3.75" style="30" customWidth="1"/>
    <col min="5681" max="5681" width="4.125" style="30" customWidth="1"/>
    <col min="5682" max="5682" width="3.75" style="30" customWidth="1"/>
    <col min="5683" max="5683" width="4.25" style="30" customWidth="1"/>
    <col min="5684" max="5684" width="4" style="30" customWidth="1"/>
    <col min="5685" max="5685" width="4.75" style="30" customWidth="1"/>
    <col min="5686" max="5888" width="9" style="30"/>
    <col min="5889" max="5889" width="5" style="30" customWidth="1"/>
    <col min="5890" max="5890" width="12.625" style="30" customWidth="1"/>
    <col min="5891" max="5891" width="12" style="30" customWidth="1"/>
    <col min="5892" max="5892" width="16.875" style="30" customWidth="1"/>
    <col min="5893" max="5894" width="4.125" style="30" customWidth="1"/>
    <col min="5895" max="5925" width="2.875" style="30" customWidth="1"/>
    <col min="5926" max="5927" width="4.125" style="30" customWidth="1"/>
    <col min="5928" max="5928" width="9.875" style="30" customWidth="1"/>
    <col min="5929" max="5929" width="9" style="30"/>
    <col min="5930" max="5930" width="13.75" style="30" customWidth="1"/>
    <col min="5931" max="5931" width="8.75" style="30" customWidth="1"/>
    <col min="5932" max="5934" width="4.5" style="30" customWidth="1"/>
    <col min="5935" max="5935" width="4" style="30" customWidth="1"/>
    <col min="5936" max="5936" width="3.75" style="30" customWidth="1"/>
    <col min="5937" max="5937" width="4.125" style="30" customWidth="1"/>
    <col min="5938" max="5938" width="3.75" style="30" customWidth="1"/>
    <col min="5939" max="5939" width="4.25" style="30" customWidth="1"/>
    <col min="5940" max="5940" width="4" style="30" customWidth="1"/>
    <col min="5941" max="5941" width="4.75" style="30" customWidth="1"/>
    <col min="5942" max="6144" width="9" style="30"/>
    <col min="6145" max="6145" width="5" style="30" customWidth="1"/>
    <col min="6146" max="6146" width="12.625" style="30" customWidth="1"/>
    <col min="6147" max="6147" width="12" style="30" customWidth="1"/>
    <col min="6148" max="6148" width="16.875" style="30" customWidth="1"/>
    <col min="6149" max="6150" width="4.125" style="30" customWidth="1"/>
    <col min="6151" max="6181" width="2.875" style="30" customWidth="1"/>
    <col min="6182" max="6183" width="4.125" style="30" customWidth="1"/>
    <col min="6184" max="6184" width="9.875" style="30" customWidth="1"/>
    <col min="6185" max="6185" width="9" style="30"/>
    <col min="6186" max="6186" width="13.75" style="30" customWidth="1"/>
    <col min="6187" max="6187" width="8.75" style="30" customWidth="1"/>
    <col min="6188" max="6190" width="4.5" style="30" customWidth="1"/>
    <col min="6191" max="6191" width="4" style="30" customWidth="1"/>
    <col min="6192" max="6192" width="3.75" style="30" customWidth="1"/>
    <col min="6193" max="6193" width="4.125" style="30" customWidth="1"/>
    <col min="6194" max="6194" width="3.75" style="30" customWidth="1"/>
    <col min="6195" max="6195" width="4.25" style="30" customWidth="1"/>
    <col min="6196" max="6196" width="4" style="30" customWidth="1"/>
    <col min="6197" max="6197" width="4.75" style="30" customWidth="1"/>
    <col min="6198" max="6400" width="9" style="30"/>
    <col min="6401" max="6401" width="5" style="30" customWidth="1"/>
    <col min="6402" max="6402" width="12.625" style="30" customWidth="1"/>
    <col min="6403" max="6403" width="12" style="30" customWidth="1"/>
    <col min="6404" max="6404" width="16.875" style="30" customWidth="1"/>
    <col min="6405" max="6406" width="4.125" style="30" customWidth="1"/>
    <col min="6407" max="6437" width="2.875" style="30" customWidth="1"/>
    <col min="6438" max="6439" width="4.125" style="30" customWidth="1"/>
    <col min="6440" max="6440" width="9.875" style="30" customWidth="1"/>
    <col min="6441" max="6441" width="9" style="30"/>
    <col min="6442" max="6442" width="13.75" style="30" customWidth="1"/>
    <col min="6443" max="6443" width="8.75" style="30" customWidth="1"/>
    <col min="6444" max="6446" width="4.5" style="30" customWidth="1"/>
    <col min="6447" max="6447" width="4" style="30" customWidth="1"/>
    <col min="6448" max="6448" width="3.75" style="30" customWidth="1"/>
    <col min="6449" max="6449" width="4.125" style="30" customWidth="1"/>
    <col min="6450" max="6450" width="3.75" style="30" customWidth="1"/>
    <col min="6451" max="6451" width="4.25" style="30" customWidth="1"/>
    <col min="6452" max="6452" width="4" style="30" customWidth="1"/>
    <col min="6453" max="6453" width="4.75" style="30" customWidth="1"/>
    <col min="6454" max="6656" width="9" style="30"/>
    <col min="6657" max="6657" width="5" style="30" customWidth="1"/>
    <col min="6658" max="6658" width="12.625" style="30" customWidth="1"/>
    <col min="6659" max="6659" width="12" style="30" customWidth="1"/>
    <col min="6660" max="6660" width="16.875" style="30" customWidth="1"/>
    <col min="6661" max="6662" width="4.125" style="30" customWidth="1"/>
    <col min="6663" max="6693" width="2.875" style="30" customWidth="1"/>
    <col min="6694" max="6695" width="4.125" style="30" customWidth="1"/>
    <col min="6696" max="6696" width="9.875" style="30" customWidth="1"/>
    <col min="6697" max="6697" width="9" style="30"/>
    <col min="6698" max="6698" width="13.75" style="30" customWidth="1"/>
    <col min="6699" max="6699" width="8.75" style="30" customWidth="1"/>
    <col min="6700" max="6702" width="4.5" style="30" customWidth="1"/>
    <col min="6703" max="6703" width="4" style="30" customWidth="1"/>
    <col min="6704" max="6704" width="3.75" style="30" customWidth="1"/>
    <col min="6705" max="6705" width="4.125" style="30" customWidth="1"/>
    <col min="6706" max="6706" width="3.75" style="30" customWidth="1"/>
    <col min="6707" max="6707" width="4.25" style="30" customWidth="1"/>
    <col min="6708" max="6708" width="4" style="30" customWidth="1"/>
    <col min="6709" max="6709" width="4.75" style="30" customWidth="1"/>
    <col min="6710" max="6912" width="9" style="30"/>
    <col min="6913" max="6913" width="5" style="30" customWidth="1"/>
    <col min="6914" max="6914" width="12.625" style="30" customWidth="1"/>
    <col min="6915" max="6915" width="12" style="30" customWidth="1"/>
    <col min="6916" max="6916" width="16.875" style="30" customWidth="1"/>
    <col min="6917" max="6918" width="4.125" style="30" customWidth="1"/>
    <col min="6919" max="6949" width="2.875" style="30" customWidth="1"/>
    <col min="6950" max="6951" width="4.125" style="30" customWidth="1"/>
    <col min="6952" max="6952" width="9.875" style="30" customWidth="1"/>
    <col min="6953" max="6953" width="9" style="30"/>
    <col min="6954" max="6954" width="13.75" style="30" customWidth="1"/>
    <col min="6955" max="6955" width="8.75" style="30" customWidth="1"/>
    <col min="6956" max="6958" width="4.5" style="30" customWidth="1"/>
    <col min="6959" max="6959" width="4" style="30" customWidth="1"/>
    <col min="6960" max="6960" width="3.75" style="30" customWidth="1"/>
    <col min="6961" max="6961" width="4.125" style="30" customWidth="1"/>
    <col min="6962" max="6962" width="3.75" style="30" customWidth="1"/>
    <col min="6963" max="6963" width="4.25" style="30" customWidth="1"/>
    <col min="6964" max="6964" width="4" style="30" customWidth="1"/>
    <col min="6965" max="6965" width="4.75" style="30" customWidth="1"/>
    <col min="6966" max="7168" width="9" style="30"/>
    <col min="7169" max="7169" width="5" style="30" customWidth="1"/>
    <col min="7170" max="7170" width="12.625" style="30" customWidth="1"/>
    <col min="7171" max="7171" width="12" style="30" customWidth="1"/>
    <col min="7172" max="7172" width="16.875" style="30" customWidth="1"/>
    <col min="7173" max="7174" width="4.125" style="30" customWidth="1"/>
    <col min="7175" max="7205" width="2.875" style="30" customWidth="1"/>
    <col min="7206" max="7207" width="4.125" style="30" customWidth="1"/>
    <col min="7208" max="7208" width="9.875" style="30" customWidth="1"/>
    <col min="7209" max="7209" width="9" style="30"/>
    <col min="7210" max="7210" width="13.75" style="30" customWidth="1"/>
    <col min="7211" max="7211" width="8.75" style="30" customWidth="1"/>
    <col min="7212" max="7214" width="4.5" style="30" customWidth="1"/>
    <col min="7215" max="7215" width="4" style="30" customWidth="1"/>
    <col min="7216" max="7216" width="3.75" style="30" customWidth="1"/>
    <col min="7217" max="7217" width="4.125" style="30" customWidth="1"/>
    <col min="7218" max="7218" width="3.75" style="30" customWidth="1"/>
    <col min="7219" max="7219" width="4.25" style="30" customWidth="1"/>
    <col min="7220" max="7220" width="4" style="30" customWidth="1"/>
    <col min="7221" max="7221" width="4.75" style="30" customWidth="1"/>
    <col min="7222" max="7424" width="9" style="30"/>
    <col min="7425" max="7425" width="5" style="30" customWidth="1"/>
    <col min="7426" max="7426" width="12.625" style="30" customWidth="1"/>
    <col min="7427" max="7427" width="12" style="30" customWidth="1"/>
    <col min="7428" max="7428" width="16.875" style="30" customWidth="1"/>
    <col min="7429" max="7430" width="4.125" style="30" customWidth="1"/>
    <col min="7431" max="7461" width="2.875" style="30" customWidth="1"/>
    <col min="7462" max="7463" width="4.125" style="30" customWidth="1"/>
    <col min="7464" max="7464" width="9.875" style="30" customWidth="1"/>
    <col min="7465" max="7465" width="9" style="30"/>
    <col min="7466" max="7466" width="13.75" style="30" customWidth="1"/>
    <col min="7467" max="7467" width="8.75" style="30" customWidth="1"/>
    <col min="7468" max="7470" width="4.5" style="30" customWidth="1"/>
    <col min="7471" max="7471" width="4" style="30" customWidth="1"/>
    <col min="7472" max="7472" width="3.75" style="30" customWidth="1"/>
    <col min="7473" max="7473" width="4.125" style="30" customWidth="1"/>
    <col min="7474" max="7474" width="3.75" style="30" customWidth="1"/>
    <col min="7475" max="7475" width="4.25" style="30" customWidth="1"/>
    <col min="7476" max="7476" width="4" style="30" customWidth="1"/>
    <col min="7477" max="7477" width="4.75" style="30" customWidth="1"/>
    <col min="7478" max="7680" width="9" style="30"/>
    <col min="7681" max="7681" width="5" style="30" customWidth="1"/>
    <col min="7682" max="7682" width="12.625" style="30" customWidth="1"/>
    <col min="7683" max="7683" width="12" style="30" customWidth="1"/>
    <col min="7684" max="7684" width="16.875" style="30" customWidth="1"/>
    <col min="7685" max="7686" width="4.125" style="30" customWidth="1"/>
    <col min="7687" max="7717" width="2.875" style="30" customWidth="1"/>
    <col min="7718" max="7719" width="4.125" style="30" customWidth="1"/>
    <col min="7720" max="7720" width="9.875" style="30" customWidth="1"/>
    <col min="7721" max="7721" width="9" style="30"/>
    <col min="7722" max="7722" width="13.75" style="30" customWidth="1"/>
    <col min="7723" max="7723" width="8.75" style="30" customWidth="1"/>
    <col min="7724" max="7726" width="4.5" style="30" customWidth="1"/>
    <col min="7727" max="7727" width="4" style="30" customWidth="1"/>
    <col min="7728" max="7728" width="3.75" style="30" customWidth="1"/>
    <col min="7729" max="7729" width="4.125" style="30" customWidth="1"/>
    <col min="7730" max="7730" width="3.75" style="30" customWidth="1"/>
    <col min="7731" max="7731" width="4.25" style="30" customWidth="1"/>
    <col min="7732" max="7732" width="4" style="30" customWidth="1"/>
    <col min="7733" max="7733" width="4.75" style="30" customWidth="1"/>
    <col min="7734" max="7936" width="9" style="30"/>
    <col min="7937" max="7937" width="5" style="30" customWidth="1"/>
    <col min="7938" max="7938" width="12.625" style="30" customWidth="1"/>
    <col min="7939" max="7939" width="12" style="30" customWidth="1"/>
    <col min="7940" max="7940" width="16.875" style="30" customWidth="1"/>
    <col min="7941" max="7942" width="4.125" style="30" customWidth="1"/>
    <col min="7943" max="7973" width="2.875" style="30" customWidth="1"/>
    <col min="7974" max="7975" width="4.125" style="30" customWidth="1"/>
    <col min="7976" max="7976" width="9.875" style="30" customWidth="1"/>
    <col min="7977" max="7977" width="9" style="30"/>
    <col min="7978" max="7978" width="13.75" style="30" customWidth="1"/>
    <col min="7979" max="7979" width="8.75" style="30" customWidth="1"/>
    <col min="7980" max="7982" width="4.5" style="30" customWidth="1"/>
    <col min="7983" max="7983" width="4" style="30" customWidth="1"/>
    <col min="7984" max="7984" width="3.75" style="30" customWidth="1"/>
    <col min="7985" max="7985" width="4.125" style="30" customWidth="1"/>
    <col min="7986" max="7986" width="3.75" style="30" customWidth="1"/>
    <col min="7987" max="7987" width="4.25" style="30" customWidth="1"/>
    <col min="7988" max="7988" width="4" style="30" customWidth="1"/>
    <col min="7989" max="7989" width="4.75" style="30" customWidth="1"/>
    <col min="7990" max="8192" width="9" style="30"/>
    <col min="8193" max="8193" width="5" style="30" customWidth="1"/>
    <col min="8194" max="8194" width="12.625" style="30" customWidth="1"/>
    <col min="8195" max="8195" width="12" style="30" customWidth="1"/>
    <col min="8196" max="8196" width="16.875" style="30" customWidth="1"/>
    <col min="8197" max="8198" width="4.125" style="30" customWidth="1"/>
    <col min="8199" max="8229" width="2.875" style="30" customWidth="1"/>
    <col min="8230" max="8231" width="4.125" style="30" customWidth="1"/>
    <col min="8232" max="8232" width="9.875" style="30" customWidth="1"/>
    <col min="8233" max="8233" width="9" style="30"/>
    <col min="8234" max="8234" width="13.75" style="30" customWidth="1"/>
    <col min="8235" max="8235" width="8.75" style="30" customWidth="1"/>
    <col min="8236" max="8238" width="4.5" style="30" customWidth="1"/>
    <col min="8239" max="8239" width="4" style="30" customWidth="1"/>
    <col min="8240" max="8240" width="3.75" style="30" customWidth="1"/>
    <col min="8241" max="8241" width="4.125" style="30" customWidth="1"/>
    <col min="8242" max="8242" width="3.75" style="30" customWidth="1"/>
    <col min="8243" max="8243" width="4.25" style="30" customWidth="1"/>
    <col min="8244" max="8244" width="4" style="30" customWidth="1"/>
    <col min="8245" max="8245" width="4.75" style="30" customWidth="1"/>
    <col min="8246" max="8448" width="9" style="30"/>
    <col min="8449" max="8449" width="5" style="30" customWidth="1"/>
    <col min="8450" max="8450" width="12.625" style="30" customWidth="1"/>
    <col min="8451" max="8451" width="12" style="30" customWidth="1"/>
    <col min="8452" max="8452" width="16.875" style="30" customWidth="1"/>
    <col min="8453" max="8454" width="4.125" style="30" customWidth="1"/>
    <col min="8455" max="8485" width="2.875" style="30" customWidth="1"/>
    <col min="8486" max="8487" width="4.125" style="30" customWidth="1"/>
    <col min="8488" max="8488" width="9.875" style="30" customWidth="1"/>
    <col min="8489" max="8489" width="9" style="30"/>
    <col min="8490" max="8490" width="13.75" style="30" customWidth="1"/>
    <col min="8491" max="8491" width="8.75" style="30" customWidth="1"/>
    <col min="8492" max="8494" width="4.5" style="30" customWidth="1"/>
    <col min="8495" max="8495" width="4" style="30" customWidth="1"/>
    <col min="8496" max="8496" width="3.75" style="30" customWidth="1"/>
    <col min="8497" max="8497" width="4.125" style="30" customWidth="1"/>
    <col min="8498" max="8498" width="3.75" style="30" customWidth="1"/>
    <col min="8499" max="8499" width="4.25" style="30" customWidth="1"/>
    <col min="8500" max="8500" width="4" style="30" customWidth="1"/>
    <col min="8501" max="8501" width="4.75" style="30" customWidth="1"/>
    <col min="8502" max="8704" width="9" style="30"/>
    <col min="8705" max="8705" width="5" style="30" customWidth="1"/>
    <col min="8706" max="8706" width="12.625" style="30" customWidth="1"/>
    <col min="8707" max="8707" width="12" style="30" customWidth="1"/>
    <col min="8708" max="8708" width="16.875" style="30" customWidth="1"/>
    <col min="8709" max="8710" width="4.125" style="30" customWidth="1"/>
    <col min="8711" max="8741" width="2.875" style="30" customWidth="1"/>
    <col min="8742" max="8743" width="4.125" style="30" customWidth="1"/>
    <col min="8744" max="8744" width="9.875" style="30" customWidth="1"/>
    <col min="8745" max="8745" width="9" style="30"/>
    <col min="8746" max="8746" width="13.75" style="30" customWidth="1"/>
    <col min="8747" max="8747" width="8.75" style="30" customWidth="1"/>
    <col min="8748" max="8750" width="4.5" style="30" customWidth="1"/>
    <col min="8751" max="8751" width="4" style="30" customWidth="1"/>
    <col min="8752" max="8752" width="3.75" style="30" customWidth="1"/>
    <col min="8753" max="8753" width="4.125" style="30" customWidth="1"/>
    <col min="8754" max="8754" width="3.75" style="30" customWidth="1"/>
    <col min="8755" max="8755" width="4.25" style="30" customWidth="1"/>
    <col min="8756" max="8756" width="4" style="30" customWidth="1"/>
    <col min="8757" max="8757" width="4.75" style="30" customWidth="1"/>
    <col min="8758" max="8960" width="9" style="30"/>
    <col min="8961" max="8961" width="5" style="30" customWidth="1"/>
    <col min="8962" max="8962" width="12.625" style="30" customWidth="1"/>
    <col min="8963" max="8963" width="12" style="30" customWidth="1"/>
    <col min="8964" max="8964" width="16.875" style="30" customWidth="1"/>
    <col min="8965" max="8966" width="4.125" style="30" customWidth="1"/>
    <col min="8967" max="8997" width="2.875" style="30" customWidth="1"/>
    <col min="8998" max="8999" width="4.125" style="30" customWidth="1"/>
    <col min="9000" max="9000" width="9.875" style="30" customWidth="1"/>
    <col min="9001" max="9001" width="9" style="30"/>
    <col min="9002" max="9002" width="13.75" style="30" customWidth="1"/>
    <col min="9003" max="9003" width="8.75" style="30" customWidth="1"/>
    <col min="9004" max="9006" width="4.5" style="30" customWidth="1"/>
    <col min="9007" max="9007" width="4" style="30" customWidth="1"/>
    <col min="9008" max="9008" width="3.75" style="30" customWidth="1"/>
    <col min="9009" max="9009" width="4.125" style="30" customWidth="1"/>
    <col min="9010" max="9010" width="3.75" style="30" customWidth="1"/>
    <col min="9011" max="9011" width="4.25" style="30" customWidth="1"/>
    <col min="9012" max="9012" width="4" style="30" customWidth="1"/>
    <col min="9013" max="9013" width="4.75" style="30" customWidth="1"/>
    <col min="9014" max="9216" width="9" style="30"/>
    <col min="9217" max="9217" width="5" style="30" customWidth="1"/>
    <col min="9218" max="9218" width="12.625" style="30" customWidth="1"/>
    <col min="9219" max="9219" width="12" style="30" customWidth="1"/>
    <col min="9220" max="9220" width="16.875" style="30" customWidth="1"/>
    <col min="9221" max="9222" width="4.125" style="30" customWidth="1"/>
    <col min="9223" max="9253" width="2.875" style="30" customWidth="1"/>
    <col min="9254" max="9255" width="4.125" style="30" customWidth="1"/>
    <col min="9256" max="9256" width="9.875" style="30" customWidth="1"/>
    <col min="9257" max="9257" width="9" style="30"/>
    <col min="9258" max="9258" width="13.75" style="30" customWidth="1"/>
    <col min="9259" max="9259" width="8.75" style="30" customWidth="1"/>
    <col min="9260" max="9262" width="4.5" style="30" customWidth="1"/>
    <col min="9263" max="9263" width="4" style="30" customWidth="1"/>
    <col min="9264" max="9264" width="3.75" style="30" customWidth="1"/>
    <col min="9265" max="9265" width="4.125" style="30" customWidth="1"/>
    <col min="9266" max="9266" width="3.75" style="30" customWidth="1"/>
    <col min="9267" max="9267" width="4.25" style="30" customWidth="1"/>
    <col min="9268" max="9268" width="4" style="30" customWidth="1"/>
    <col min="9269" max="9269" width="4.75" style="30" customWidth="1"/>
    <col min="9270" max="9472" width="9" style="30"/>
    <col min="9473" max="9473" width="5" style="30" customWidth="1"/>
    <col min="9474" max="9474" width="12.625" style="30" customWidth="1"/>
    <col min="9475" max="9475" width="12" style="30" customWidth="1"/>
    <col min="9476" max="9476" width="16.875" style="30" customWidth="1"/>
    <col min="9477" max="9478" width="4.125" style="30" customWidth="1"/>
    <col min="9479" max="9509" width="2.875" style="30" customWidth="1"/>
    <col min="9510" max="9511" width="4.125" style="30" customWidth="1"/>
    <col min="9512" max="9512" width="9.875" style="30" customWidth="1"/>
    <col min="9513" max="9513" width="9" style="30"/>
    <col min="9514" max="9514" width="13.75" style="30" customWidth="1"/>
    <col min="9515" max="9515" width="8.75" style="30" customWidth="1"/>
    <col min="9516" max="9518" width="4.5" style="30" customWidth="1"/>
    <col min="9519" max="9519" width="4" style="30" customWidth="1"/>
    <col min="9520" max="9520" width="3.75" style="30" customWidth="1"/>
    <col min="9521" max="9521" width="4.125" style="30" customWidth="1"/>
    <col min="9522" max="9522" width="3.75" style="30" customWidth="1"/>
    <col min="9523" max="9523" width="4.25" style="30" customWidth="1"/>
    <col min="9524" max="9524" width="4" style="30" customWidth="1"/>
    <col min="9525" max="9525" width="4.75" style="30" customWidth="1"/>
    <col min="9526" max="9728" width="9" style="30"/>
    <col min="9729" max="9729" width="5" style="30" customWidth="1"/>
    <col min="9730" max="9730" width="12.625" style="30" customWidth="1"/>
    <col min="9731" max="9731" width="12" style="30" customWidth="1"/>
    <col min="9732" max="9732" width="16.875" style="30" customWidth="1"/>
    <col min="9733" max="9734" width="4.125" style="30" customWidth="1"/>
    <col min="9735" max="9765" width="2.875" style="30" customWidth="1"/>
    <col min="9766" max="9767" width="4.125" style="30" customWidth="1"/>
    <col min="9768" max="9768" width="9.875" style="30" customWidth="1"/>
    <col min="9769" max="9769" width="9" style="30"/>
    <col min="9770" max="9770" width="13.75" style="30" customWidth="1"/>
    <col min="9771" max="9771" width="8.75" style="30" customWidth="1"/>
    <col min="9772" max="9774" width="4.5" style="30" customWidth="1"/>
    <col min="9775" max="9775" width="4" style="30" customWidth="1"/>
    <col min="9776" max="9776" width="3.75" style="30" customWidth="1"/>
    <col min="9777" max="9777" width="4.125" style="30" customWidth="1"/>
    <col min="9778" max="9778" width="3.75" style="30" customWidth="1"/>
    <col min="9779" max="9779" width="4.25" style="30" customWidth="1"/>
    <col min="9780" max="9780" width="4" style="30" customWidth="1"/>
    <col min="9781" max="9781" width="4.75" style="30" customWidth="1"/>
    <col min="9782" max="9984" width="9" style="30"/>
    <col min="9985" max="9985" width="5" style="30" customWidth="1"/>
    <col min="9986" max="9986" width="12.625" style="30" customWidth="1"/>
    <col min="9987" max="9987" width="12" style="30" customWidth="1"/>
    <col min="9988" max="9988" width="16.875" style="30" customWidth="1"/>
    <col min="9989" max="9990" width="4.125" style="30" customWidth="1"/>
    <col min="9991" max="10021" width="2.875" style="30" customWidth="1"/>
    <col min="10022" max="10023" width="4.125" style="30" customWidth="1"/>
    <col min="10024" max="10024" width="9.875" style="30" customWidth="1"/>
    <col min="10025" max="10025" width="9" style="30"/>
    <col min="10026" max="10026" width="13.75" style="30" customWidth="1"/>
    <col min="10027" max="10027" width="8.75" style="30" customWidth="1"/>
    <col min="10028" max="10030" width="4.5" style="30" customWidth="1"/>
    <col min="10031" max="10031" width="4" style="30" customWidth="1"/>
    <col min="10032" max="10032" width="3.75" style="30" customWidth="1"/>
    <col min="10033" max="10033" width="4.125" style="30" customWidth="1"/>
    <col min="10034" max="10034" width="3.75" style="30" customWidth="1"/>
    <col min="10035" max="10035" width="4.25" style="30" customWidth="1"/>
    <col min="10036" max="10036" width="4" style="30" customWidth="1"/>
    <col min="10037" max="10037" width="4.75" style="30" customWidth="1"/>
    <col min="10038" max="10240" width="9" style="30"/>
    <col min="10241" max="10241" width="5" style="30" customWidth="1"/>
    <col min="10242" max="10242" width="12.625" style="30" customWidth="1"/>
    <col min="10243" max="10243" width="12" style="30" customWidth="1"/>
    <col min="10244" max="10244" width="16.875" style="30" customWidth="1"/>
    <col min="10245" max="10246" width="4.125" style="30" customWidth="1"/>
    <col min="10247" max="10277" width="2.875" style="30" customWidth="1"/>
    <col min="10278" max="10279" width="4.125" style="30" customWidth="1"/>
    <col min="10280" max="10280" width="9.875" style="30" customWidth="1"/>
    <col min="10281" max="10281" width="9" style="30"/>
    <col min="10282" max="10282" width="13.75" style="30" customWidth="1"/>
    <col min="10283" max="10283" width="8.75" style="30" customWidth="1"/>
    <col min="10284" max="10286" width="4.5" style="30" customWidth="1"/>
    <col min="10287" max="10287" width="4" style="30" customWidth="1"/>
    <col min="10288" max="10288" width="3.75" style="30" customWidth="1"/>
    <col min="10289" max="10289" width="4.125" style="30" customWidth="1"/>
    <col min="10290" max="10290" width="3.75" style="30" customWidth="1"/>
    <col min="10291" max="10291" width="4.25" style="30" customWidth="1"/>
    <col min="10292" max="10292" width="4" style="30" customWidth="1"/>
    <col min="10293" max="10293" width="4.75" style="30" customWidth="1"/>
    <col min="10294" max="10496" width="9" style="30"/>
    <col min="10497" max="10497" width="5" style="30" customWidth="1"/>
    <col min="10498" max="10498" width="12.625" style="30" customWidth="1"/>
    <col min="10499" max="10499" width="12" style="30" customWidth="1"/>
    <col min="10500" max="10500" width="16.875" style="30" customWidth="1"/>
    <col min="10501" max="10502" width="4.125" style="30" customWidth="1"/>
    <col min="10503" max="10533" width="2.875" style="30" customWidth="1"/>
    <col min="10534" max="10535" width="4.125" style="30" customWidth="1"/>
    <col min="10536" max="10536" width="9.875" style="30" customWidth="1"/>
    <col min="10537" max="10537" width="9" style="30"/>
    <col min="10538" max="10538" width="13.75" style="30" customWidth="1"/>
    <col min="10539" max="10539" width="8.75" style="30" customWidth="1"/>
    <col min="10540" max="10542" width="4.5" style="30" customWidth="1"/>
    <col min="10543" max="10543" width="4" style="30" customWidth="1"/>
    <col min="10544" max="10544" width="3.75" style="30" customWidth="1"/>
    <col min="10545" max="10545" width="4.125" style="30" customWidth="1"/>
    <col min="10546" max="10546" width="3.75" style="30" customWidth="1"/>
    <col min="10547" max="10547" width="4.25" style="30" customWidth="1"/>
    <col min="10548" max="10548" width="4" style="30" customWidth="1"/>
    <col min="10549" max="10549" width="4.75" style="30" customWidth="1"/>
    <col min="10550" max="10752" width="9" style="30"/>
    <col min="10753" max="10753" width="5" style="30" customWidth="1"/>
    <col min="10754" max="10754" width="12.625" style="30" customWidth="1"/>
    <col min="10755" max="10755" width="12" style="30" customWidth="1"/>
    <col min="10756" max="10756" width="16.875" style="30" customWidth="1"/>
    <col min="10757" max="10758" width="4.125" style="30" customWidth="1"/>
    <col min="10759" max="10789" width="2.875" style="30" customWidth="1"/>
    <col min="10790" max="10791" width="4.125" style="30" customWidth="1"/>
    <col min="10792" max="10792" width="9.875" style="30" customWidth="1"/>
    <col min="10793" max="10793" width="9" style="30"/>
    <col min="10794" max="10794" width="13.75" style="30" customWidth="1"/>
    <col min="10795" max="10795" width="8.75" style="30" customWidth="1"/>
    <col min="10796" max="10798" width="4.5" style="30" customWidth="1"/>
    <col min="10799" max="10799" width="4" style="30" customWidth="1"/>
    <col min="10800" max="10800" width="3.75" style="30" customWidth="1"/>
    <col min="10801" max="10801" width="4.125" style="30" customWidth="1"/>
    <col min="10802" max="10802" width="3.75" style="30" customWidth="1"/>
    <col min="10803" max="10803" width="4.25" style="30" customWidth="1"/>
    <col min="10804" max="10804" width="4" style="30" customWidth="1"/>
    <col min="10805" max="10805" width="4.75" style="30" customWidth="1"/>
    <col min="10806" max="11008" width="9" style="30"/>
    <col min="11009" max="11009" width="5" style="30" customWidth="1"/>
    <col min="11010" max="11010" width="12.625" style="30" customWidth="1"/>
    <col min="11011" max="11011" width="12" style="30" customWidth="1"/>
    <col min="11012" max="11012" width="16.875" style="30" customWidth="1"/>
    <col min="11013" max="11014" width="4.125" style="30" customWidth="1"/>
    <col min="11015" max="11045" width="2.875" style="30" customWidth="1"/>
    <col min="11046" max="11047" width="4.125" style="30" customWidth="1"/>
    <col min="11048" max="11048" width="9.875" style="30" customWidth="1"/>
    <col min="11049" max="11049" width="9" style="30"/>
    <col min="11050" max="11050" width="13.75" style="30" customWidth="1"/>
    <col min="11051" max="11051" width="8.75" style="30" customWidth="1"/>
    <col min="11052" max="11054" width="4.5" style="30" customWidth="1"/>
    <col min="11055" max="11055" width="4" style="30" customWidth="1"/>
    <col min="11056" max="11056" width="3.75" style="30" customWidth="1"/>
    <col min="11057" max="11057" width="4.125" style="30" customWidth="1"/>
    <col min="11058" max="11058" width="3.75" style="30" customWidth="1"/>
    <col min="11059" max="11059" width="4.25" style="30" customWidth="1"/>
    <col min="11060" max="11060" width="4" style="30" customWidth="1"/>
    <col min="11061" max="11061" width="4.75" style="30" customWidth="1"/>
    <col min="11062" max="11264" width="9" style="30"/>
    <col min="11265" max="11265" width="5" style="30" customWidth="1"/>
    <col min="11266" max="11266" width="12.625" style="30" customWidth="1"/>
    <col min="11267" max="11267" width="12" style="30" customWidth="1"/>
    <col min="11268" max="11268" width="16.875" style="30" customWidth="1"/>
    <col min="11269" max="11270" width="4.125" style="30" customWidth="1"/>
    <col min="11271" max="11301" width="2.875" style="30" customWidth="1"/>
    <col min="11302" max="11303" width="4.125" style="30" customWidth="1"/>
    <col min="11304" max="11304" width="9.875" style="30" customWidth="1"/>
    <col min="11305" max="11305" width="9" style="30"/>
    <col min="11306" max="11306" width="13.75" style="30" customWidth="1"/>
    <col min="11307" max="11307" width="8.75" style="30" customWidth="1"/>
    <col min="11308" max="11310" width="4.5" style="30" customWidth="1"/>
    <col min="11311" max="11311" width="4" style="30" customWidth="1"/>
    <col min="11312" max="11312" width="3.75" style="30" customWidth="1"/>
    <col min="11313" max="11313" width="4.125" style="30" customWidth="1"/>
    <col min="11314" max="11314" width="3.75" style="30" customWidth="1"/>
    <col min="11315" max="11315" width="4.25" style="30" customWidth="1"/>
    <col min="11316" max="11316" width="4" style="30" customWidth="1"/>
    <col min="11317" max="11317" width="4.75" style="30" customWidth="1"/>
    <col min="11318" max="11520" width="9" style="30"/>
    <col min="11521" max="11521" width="5" style="30" customWidth="1"/>
    <col min="11522" max="11522" width="12.625" style="30" customWidth="1"/>
    <col min="11523" max="11523" width="12" style="30" customWidth="1"/>
    <col min="11524" max="11524" width="16.875" style="30" customWidth="1"/>
    <col min="11525" max="11526" width="4.125" style="30" customWidth="1"/>
    <col min="11527" max="11557" width="2.875" style="30" customWidth="1"/>
    <col min="11558" max="11559" width="4.125" style="30" customWidth="1"/>
    <col min="11560" max="11560" width="9.875" style="30" customWidth="1"/>
    <col min="11561" max="11561" width="9" style="30"/>
    <col min="11562" max="11562" width="13.75" style="30" customWidth="1"/>
    <col min="11563" max="11563" width="8.75" style="30" customWidth="1"/>
    <col min="11564" max="11566" width="4.5" style="30" customWidth="1"/>
    <col min="11567" max="11567" width="4" style="30" customWidth="1"/>
    <col min="11568" max="11568" width="3.75" style="30" customWidth="1"/>
    <col min="11569" max="11569" width="4.125" style="30" customWidth="1"/>
    <col min="11570" max="11570" width="3.75" style="30" customWidth="1"/>
    <col min="11571" max="11571" width="4.25" style="30" customWidth="1"/>
    <col min="11572" max="11572" width="4" style="30" customWidth="1"/>
    <col min="11573" max="11573" width="4.75" style="30" customWidth="1"/>
    <col min="11574" max="11776" width="9" style="30"/>
    <col min="11777" max="11777" width="5" style="30" customWidth="1"/>
    <col min="11778" max="11778" width="12.625" style="30" customWidth="1"/>
    <col min="11779" max="11779" width="12" style="30" customWidth="1"/>
    <col min="11780" max="11780" width="16.875" style="30" customWidth="1"/>
    <col min="11781" max="11782" width="4.125" style="30" customWidth="1"/>
    <col min="11783" max="11813" width="2.875" style="30" customWidth="1"/>
    <col min="11814" max="11815" width="4.125" style="30" customWidth="1"/>
    <col min="11816" max="11816" width="9.875" style="30" customWidth="1"/>
    <col min="11817" max="11817" width="9" style="30"/>
    <col min="11818" max="11818" width="13.75" style="30" customWidth="1"/>
    <col min="11819" max="11819" width="8.75" style="30" customWidth="1"/>
    <col min="11820" max="11822" width="4.5" style="30" customWidth="1"/>
    <col min="11823" max="11823" width="4" style="30" customWidth="1"/>
    <col min="11824" max="11824" width="3.75" style="30" customWidth="1"/>
    <col min="11825" max="11825" width="4.125" style="30" customWidth="1"/>
    <col min="11826" max="11826" width="3.75" style="30" customWidth="1"/>
    <col min="11827" max="11827" width="4.25" style="30" customWidth="1"/>
    <col min="11828" max="11828" width="4" style="30" customWidth="1"/>
    <col min="11829" max="11829" width="4.75" style="30" customWidth="1"/>
    <col min="11830" max="12032" width="9" style="30"/>
    <col min="12033" max="12033" width="5" style="30" customWidth="1"/>
    <col min="12034" max="12034" width="12.625" style="30" customWidth="1"/>
    <col min="12035" max="12035" width="12" style="30" customWidth="1"/>
    <col min="12036" max="12036" width="16.875" style="30" customWidth="1"/>
    <col min="12037" max="12038" width="4.125" style="30" customWidth="1"/>
    <col min="12039" max="12069" width="2.875" style="30" customWidth="1"/>
    <col min="12070" max="12071" width="4.125" style="30" customWidth="1"/>
    <col min="12072" max="12072" width="9.875" style="30" customWidth="1"/>
    <col min="12073" max="12073" width="9" style="30"/>
    <col min="12074" max="12074" width="13.75" style="30" customWidth="1"/>
    <col min="12075" max="12075" width="8.75" style="30" customWidth="1"/>
    <col min="12076" max="12078" width="4.5" style="30" customWidth="1"/>
    <col min="12079" max="12079" width="4" style="30" customWidth="1"/>
    <col min="12080" max="12080" width="3.75" style="30" customWidth="1"/>
    <col min="12081" max="12081" width="4.125" style="30" customWidth="1"/>
    <col min="12082" max="12082" width="3.75" style="30" customWidth="1"/>
    <col min="12083" max="12083" width="4.25" style="30" customWidth="1"/>
    <col min="12084" max="12084" width="4" style="30" customWidth="1"/>
    <col min="12085" max="12085" width="4.75" style="30" customWidth="1"/>
    <col min="12086" max="12288" width="9" style="30"/>
    <col min="12289" max="12289" width="5" style="30" customWidth="1"/>
    <col min="12290" max="12290" width="12.625" style="30" customWidth="1"/>
    <col min="12291" max="12291" width="12" style="30" customWidth="1"/>
    <col min="12292" max="12292" width="16.875" style="30" customWidth="1"/>
    <col min="12293" max="12294" width="4.125" style="30" customWidth="1"/>
    <col min="12295" max="12325" width="2.875" style="30" customWidth="1"/>
    <col min="12326" max="12327" width="4.125" style="30" customWidth="1"/>
    <col min="12328" max="12328" width="9.875" style="30" customWidth="1"/>
    <col min="12329" max="12329" width="9" style="30"/>
    <col min="12330" max="12330" width="13.75" style="30" customWidth="1"/>
    <col min="12331" max="12331" width="8.75" style="30" customWidth="1"/>
    <col min="12332" max="12334" width="4.5" style="30" customWidth="1"/>
    <col min="12335" max="12335" width="4" style="30" customWidth="1"/>
    <col min="12336" max="12336" width="3.75" style="30" customWidth="1"/>
    <col min="12337" max="12337" width="4.125" style="30" customWidth="1"/>
    <col min="12338" max="12338" width="3.75" style="30" customWidth="1"/>
    <col min="12339" max="12339" width="4.25" style="30" customWidth="1"/>
    <col min="12340" max="12340" width="4" style="30" customWidth="1"/>
    <col min="12341" max="12341" width="4.75" style="30" customWidth="1"/>
    <col min="12342" max="12544" width="9" style="30"/>
    <col min="12545" max="12545" width="5" style="30" customWidth="1"/>
    <col min="12546" max="12546" width="12.625" style="30" customWidth="1"/>
    <col min="12547" max="12547" width="12" style="30" customWidth="1"/>
    <col min="12548" max="12548" width="16.875" style="30" customWidth="1"/>
    <col min="12549" max="12550" width="4.125" style="30" customWidth="1"/>
    <col min="12551" max="12581" width="2.875" style="30" customWidth="1"/>
    <col min="12582" max="12583" width="4.125" style="30" customWidth="1"/>
    <col min="12584" max="12584" width="9.875" style="30" customWidth="1"/>
    <col min="12585" max="12585" width="9" style="30"/>
    <col min="12586" max="12586" width="13.75" style="30" customWidth="1"/>
    <col min="12587" max="12587" width="8.75" style="30" customWidth="1"/>
    <col min="12588" max="12590" width="4.5" style="30" customWidth="1"/>
    <col min="12591" max="12591" width="4" style="30" customWidth="1"/>
    <col min="12592" max="12592" width="3.75" style="30" customWidth="1"/>
    <col min="12593" max="12593" width="4.125" style="30" customWidth="1"/>
    <col min="12594" max="12594" width="3.75" style="30" customWidth="1"/>
    <col min="12595" max="12595" width="4.25" style="30" customWidth="1"/>
    <col min="12596" max="12596" width="4" style="30" customWidth="1"/>
    <col min="12597" max="12597" width="4.75" style="30" customWidth="1"/>
    <col min="12598" max="12800" width="9" style="30"/>
    <col min="12801" max="12801" width="5" style="30" customWidth="1"/>
    <col min="12802" max="12802" width="12.625" style="30" customWidth="1"/>
    <col min="12803" max="12803" width="12" style="30" customWidth="1"/>
    <col min="12804" max="12804" width="16.875" style="30" customWidth="1"/>
    <col min="12805" max="12806" width="4.125" style="30" customWidth="1"/>
    <col min="12807" max="12837" width="2.875" style="30" customWidth="1"/>
    <col min="12838" max="12839" width="4.125" style="30" customWidth="1"/>
    <col min="12840" max="12840" width="9.875" style="30" customWidth="1"/>
    <col min="12841" max="12841" width="9" style="30"/>
    <col min="12842" max="12842" width="13.75" style="30" customWidth="1"/>
    <col min="12843" max="12843" width="8.75" style="30" customWidth="1"/>
    <col min="12844" max="12846" width="4.5" style="30" customWidth="1"/>
    <col min="12847" max="12847" width="4" style="30" customWidth="1"/>
    <col min="12848" max="12848" width="3.75" style="30" customWidth="1"/>
    <col min="12849" max="12849" width="4.125" style="30" customWidth="1"/>
    <col min="12850" max="12850" width="3.75" style="30" customWidth="1"/>
    <col min="12851" max="12851" width="4.25" style="30" customWidth="1"/>
    <col min="12852" max="12852" width="4" style="30" customWidth="1"/>
    <col min="12853" max="12853" width="4.75" style="30" customWidth="1"/>
    <col min="12854" max="13056" width="9" style="30"/>
    <col min="13057" max="13057" width="5" style="30" customWidth="1"/>
    <col min="13058" max="13058" width="12.625" style="30" customWidth="1"/>
    <col min="13059" max="13059" width="12" style="30" customWidth="1"/>
    <col min="13060" max="13060" width="16.875" style="30" customWidth="1"/>
    <col min="13061" max="13062" width="4.125" style="30" customWidth="1"/>
    <col min="13063" max="13093" width="2.875" style="30" customWidth="1"/>
    <col min="13094" max="13095" width="4.125" style="30" customWidth="1"/>
    <col min="13096" max="13096" width="9.875" style="30" customWidth="1"/>
    <col min="13097" max="13097" width="9" style="30"/>
    <col min="13098" max="13098" width="13.75" style="30" customWidth="1"/>
    <col min="13099" max="13099" width="8.75" style="30" customWidth="1"/>
    <col min="13100" max="13102" width="4.5" style="30" customWidth="1"/>
    <col min="13103" max="13103" width="4" style="30" customWidth="1"/>
    <col min="13104" max="13104" width="3.75" style="30" customWidth="1"/>
    <col min="13105" max="13105" width="4.125" style="30" customWidth="1"/>
    <col min="13106" max="13106" width="3.75" style="30" customWidth="1"/>
    <col min="13107" max="13107" width="4.25" style="30" customWidth="1"/>
    <col min="13108" max="13108" width="4" style="30" customWidth="1"/>
    <col min="13109" max="13109" width="4.75" style="30" customWidth="1"/>
    <col min="13110" max="13312" width="9" style="30"/>
    <col min="13313" max="13313" width="5" style="30" customWidth="1"/>
    <col min="13314" max="13314" width="12.625" style="30" customWidth="1"/>
    <col min="13315" max="13315" width="12" style="30" customWidth="1"/>
    <col min="13316" max="13316" width="16.875" style="30" customWidth="1"/>
    <col min="13317" max="13318" width="4.125" style="30" customWidth="1"/>
    <col min="13319" max="13349" width="2.875" style="30" customWidth="1"/>
    <col min="13350" max="13351" width="4.125" style="30" customWidth="1"/>
    <col min="13352" max="13352" width="9.875" style="30" customWidth="1"/>
    <col min="13353" max="13353" width="9" style="30"/>
    <col min="13354" max="13354" width="13.75" style="30" customWidth="1"/>
    <col min="13355" max="13355" width="8.75" style="30" customWidth="1"/>
    <col min="13356" max="13358" width="4.5" style="30" customWidth="1"/>
    <col min="13359" max="13359" width="4" style="30" customWidth="1"/>
    <col min="13360" max="13360" width="3.75" style="30" customWidth="1"/>
    <col min="13361" max="13361" width="4.125" style="30" customWidth="1"/>
    <col min="13362" max="13362" width="3.75" style="30" customWidth="1"/>
    <col min="13363" max="13363" width="4.25" style="30" customWidth="1"/>
    <col min="13364" max="13364" width="4" style="30" customWidth="1"/>
    <col min="13365" max="13365" width="4.75" style="30" customWidth="1"/>
    <col min="13366" max="13568" width="9" style="30"/>
    <col min="13569" max="13569" width="5" style="30" customWidth="1"/>
    <col min="13570" max="13570" width="12.625" style="30" customWidth="1"/>
    <col min="13571" max="13571" width="12" style="30" customWidth="1"/>
    <col min="13572" max="13572" width="16.875" style="30" customWidth="1"/>
    <col min="13573" max="13574" width="4.125" style="30" customWidth="1"/>
    <col min="13575" max="13605" width="2.875" style="30" customWidth="1"/>
    <col min="13606" max="13607" width="4.125" style="30" customWidth="1"/>
    <col min="13608" max="13608" width="9.875" style="30" customWidth="1"/>
    <col min="13609" max="13609" width="9" style="30"/>
    <col min="13610" max="13610" width="13.75" style="30" customWidth="1"/>
    <col min="13611" max="13611" width="8.75" style="30" customWidth="1"/>
    <col min="13612" max="13614" width="4.5" style="30" customWidth="1"/>
    <col min="13615" max="13615" width="4" style="30" customWidth="1"/>
    <col min="13616" max="13616" width="3.75" style="30" customWidth="1"/>
    <col min="13617" max="13617" width="4.125" style="30" customWidth="1"/>
    <col min="13618" max="13618" width="3.75" style="30" customWidth="1"/>
    <col min="13619" max="13619" width="4.25" style="30" customWidth="1"/>
    <col min="13620" max="13620" width="4" style="30" customWidth="1"/>
    <col min="13621" max="13621" width="4.75" style="30" customWidth="1"/>
    <col min="13622" max="13824" width="9" style="30"/>
    <col min="13825" max="13825" width="5" style="30" customWidth="1"/>
    <col min="13826" max="13826" width="12.625" style="30" customWidth="1"/>
    <col min="13827" max="13827" width="12" style="30" customWidth="1"/>
    <col min="13828" max="13828" width="16.875" style="30" customWidth="1"/>
    <col min="13829" max="13830" width="4.125" style="30" customWidth="1"/>
    <col min="13831" max="13861" width="2.875" style="30" customWidth="1"/>
    <col min="13862" max="13863" width="4.125" style="30" customWidth="1"/>
    <col min="13864" max="13864" width="9.875" style="30" customWidth="1"/>
    <col min="13865" max="13865" width="9" style="30"/>
    <col min="13866" max="13866" width="13.75" style="30" customWidth="1"/>
    <col min="13867" max="13867" width="8.75" style="30" customWidth="1"/>
    <col min="13868" max="13870" width="4.5" style="30" customWidth="1"/>
    <col min="13871" max="13871" width="4" style="30" customWidth="1"/>
    <col min="13872" max="13872" width="3.75" style="30" customWidth="1"/>
    <col min="13873" max="13873" width="4.125" style="30" customWidth="1"/>
    <col min="13874" max="13874" width="3.75" style="30" customWidth="1"/>
    <col min="13875" max="13875" width="4.25" style="30" customWidth="1"/>
    <col min="13876" max="13876" width="4" style="30" customWidth="1"/>
    <col min="13877" max="13877" width="4.75" style="30" customWidth="1"/>
    <col min="13878" max="14080" width="9" style="30"/>
    <col min="14081" max="14081" width="5" style="30" customWidth="1"/>
    <col min="14082" max="14082" width="12.625" style="30" customWidth="1"/>
    <col min="14083" max="14083" width="12" style="30" customWidth="1"/>
    <col min="14084" max="14084" width="16.875" style="30" customWidth="1"/>
    <col min="14085" max="14086" width="4.125" style="30" customWidth="1"/>
    <col min="14087" max="14117" width="2.875" style="30" customWidth="1"/>
    <col min="14118" max="14119" width="4.125" style="30" customWidth="1"/>
    <col min="14120" max="14120" width="9.875" style="30" customWidth="1"/>
    <col min="14121" max="14121" width="9" style="30"/>
    <col min="14122" max="14122" width="13.75" style="30" customWidth="1"/>
    <col min="14123" max="14123" width="8.75" style="30" customWidth="1"/>
    <col min="14124" max="14126" width="4.5" style="30" customWidth="1"/>
    <col min="14127" max="14127" width="4" style="30" customWidth="1"/>
    <col min="14128" max="14128" width="3.75" style="30" customWidth="1"/>
    <col min="14129" max="14129" width="4.125" style="30" customWidth="1"/>
    <col min="14130" max="14130" width="3.75" style="30" customWidth="1"/>
    <col min="14131" max="14131" width="4.25" style="30" customWidth="1"/>
    <col min="14132" max="14132" width="4" style="30" customWidth="1"/>
    <col min="14133" max="14133" width="4.75" style="30" customWidth="1"/>
    <col min="14134" max="14336" width="9" style="30"/>
    <col min="14337" max="14337" width="5" style="30" customWidth="1"/>
    <col min="14338" max="14338" width="12.625" style="30" customWidth="1"/>
    <col min="14339" max="14339" width="12" style="30" customWidth="1"/>
    <col min="14340" max="14340" width="16.875" style="30" customWidth="1"/>
    <col min="14341" max="14342" width="4.125" style="30" customWidth="1"/>
    <col min="14343" max="14373" width="2.875" style="30" customWidth="1"/>
    <col min="14374" max="14375" width="4.125" style="30" customWidth="1"/>
    <col min="14376" max="14376" width="9.875" style="30" customWidth="1"/>
    <col min="14377" max="14377" width="9" style="30"/>
    <col min="14378" max="14378" width="13.75" style="30" customWidth="1"/>
    <col min="14379" max="14379" width="8.75" style="30" customWidth="1"/>
    <col min="14380" max="14382" width="4.5" style="30" customWidth="1"/>
    <col min="14383" max="14383" width="4" style="30" customWidth="1"/>
    <col min="14384" max="14384" width="3.75" style="30" customWidth="1"/>
    <col min="14385" max="14385" width="4.125" style="30" customWidth="1"/>
    <col min="14386" max="14386" width="3.75" style="30" customWidth="1"/>
    <col min="14387" max="14387" width="4.25" style="30" customWidth="1"/>
    <col min="14388" max="14388" width="4" style="30" customWidth="1"/>
    <col min="14389" max="14389" width="4.75" style="30" customWidth="1"/>
    <col min="14390" max="14592" width="9" style="30"/>
    <col min="14593" max="14593" width="5" style="30" customWidth="1"/>
    <col min="14594" max="14594" width="12.625" style="30" customWidth="1"/>
    <col min="14595" max="14595" width="12" style="30" customWidth="1"/>
    <col min="14596" max="14596" width="16.875" style="30" customWidth="1"/>
    <col min="14597" max="14598" width="4.125" style="30" customWidth="1"/>
    <col min="14599" max="14629" width="2.875" style="30" customWidth="1"/>
    <col min="14630" max="14631" width="4.125" style="30" customWidth="1"/>
    <col min="14632" max="14632" width="9.875" style="30" customWidth="1"/>
    <col min="14633" max="14633" width="9" style="30"/>
    <col min="14634" max="14634" width="13.75" style="30" customWidth="1"/>
    <col min="14635" max="14635" width="8.75" style="30" customWidth="1"/>
    <col min="14636" max="14638" width="4.5" style="30" customWidth="1"/>
    <col min="14639" max="14639" width="4" style="30" customWidth="1"/>
    <col min="14640" max="14640" width="3.75" style="30" customWidth="1"/>
    <col min="14641" max="14641" width="4.125" style="30" customWidth="1"/>
    <col min="14642" max="14642" width="3.75" style="30" customWidth="1"/>
    <col min="14643" max="14643" width="4.25" style="30" customWidth="1"/>
    <col min="14644" max="14644" width="4" style="30" customWidth="1"/>
    <col min="14645" max="14645" width="4.75" style="30" customWidth="1"/>
    <col min="14646" max="14848" width="9" style="30"/>
    <col min="14849" max="14849" width="5" style="30" customWidth="1"/>
    <col min="14850" max="14850" width="12.625" style="30" customWidth="1"/>
    <col min="14851" max="14851" width="12" style="30" customWidth="1"/>
    <col min="14852" max="14852" width="16.875" style="30" customWidth="1"/>
    <col min="14853" max="14854" width="4.125" style="30" customWidth="1"/>
    <col min="14855" max="14885" width="2.875" style="30" customWidth="1"/>
    <col min="14886" max="14887" width="4.125" style="30" customWidth="1"/>
    <col min="14888" max="14888" width="9.875" style="30" customWidth="1"/>
    <col min="14889" max="14889" width="9" style="30"/>
    <col min="14890" max="14890" width="13.75" style="30" customWidth="1"/>
    <col min="14891" max="14891" width="8.75" style="30" customWidth="1"/>
    <col min="14892" max="14894" width="4.5" style="30" customWidth="1"/>
    <col min="14895" max="14895" width="4" style="30" customWidth="1"/>
    <col min="14896" max="14896" width="3.75" style="30" customWidth="1"/>
    <col min="14897" max="14897" width="4.125" style="30" customWidth="1"/>
    <col min="14898" max="14898" width="3.75" style="30" customWidth="1"/>
    <col min="14899" max="14899" width="4.25" style="30" customWidth="1"/>
    <col min="14900" max="14900" width="4" style="30" customWidth="1"/>
    <col min="14901" max="14901" width="4.75" style="30" customWidth="1"/>
    <col min="14902" max="15104" width="9" style="30"/>
    <col min="15105" max="15105" width="5" style="30" customWidth="1"/>
    <col min="15106" max="15106" width="12.625" style="30" customWidth="1"/>
    <col min="15107" max="15107" width="12" style="30" customWidth="1"/>
    <col min="15108" max="15108" width="16.875" style="30" customWidth="1"/>
    <col min="15109" max="15110" width="4.125" style="30" customWidth="1"/>
    <col min="15111" max="15141" width="2.875" style="30" customWidth="1"/>
    <col min="15142" max="15143" width="4.125" style="30" customWidth="1"/>
    <col min="15144" max="15144" width="9.875" style="30" customWidth="1"/>
    <col min="15145" max="15145" width="9" style="30"/>
    <col min="15146" max="15146" width="13.75" style="30" customWidth="1"/>
    <col min="15147" max="15147" width="8.75" style="30" customWidth="1"/>
    <col min="15148" max="15150" width="4.5" style="30" customWidth="1"/>
    <col min="15151" max="15151" width="4" style="30" customWidth="1"/>
    <col min="15152" max="15152" width="3.75" style="30" customWidth="1"/>
    <col min="15153" max="15153" width="4.125" style="30" customWidth="1"/>
    <col min="15154" max="15154" width="3.75" style="30" customWidth="1"/>
    <col min="15155" max="15155" width="4.25" style="30" customWidth="1"/>
    <col min="15156" max="15156" width="4" style="30" customWidth="1"/>
    <col min="15157" max="15157" width="4.75" style="30" customWidth="1"/>
    <col min="15158" max="15360" width="9" style="30"/>
    <col min="15361" max="15361" width="5" style="30" customWidth="1"/>
    <col min="15362" max="15362" width="12.625" style="30" customWidth="1"/>
    <col min="15363" max="15363" width="12" style="30" customWidth="1"/>
    <col min="15364" max="15364" width="16.875" style="30" customWidth="1"/>
    <col min="15365" max="15366" width="4.125" style="30" customWidth="1"/>
    <col min="15367" max="15397" width="2.875" style="30" customWidth="1"/>
    <col min="15398" max="15399" width="4.125" style="30" customWidth="1"/>
    <col min="15400" max="15400" width="9.875" style="30" customWidth="1"/>
    <col min="15401" max="15401" width="9" style="30"/>
    <col min="15402" max="15402" width="13.75" style="30" customWidth="1"/>
    <col min="15403" max="15403" width="8.75" style="30" customWidth="1"/>
    <col min="15404" max="15406" width="4.5" style="30" customWidth="1"/>
    <col min="15407" max="15407" width="4" style="30" customWidth="1"/>
    <col min="15408" max="15408" width="3.75" style="30" customWidth="1"/>
    <col min="15409" max="15409" width="4.125" style="30" customWidth="1"/>
    <col min="15410" max="15410" width="3.75" style="30" customWidth="1"/>
    <col min="15411" max="15411" width="4.25" style="30" customWidth="1"/>
    <col min="15412" max="15412" width="4" style="30" customWidth="1"/>
    <col min="15413" max="15413" width="4.75" style="30" customWidth="1"/>
    <col min="15414" max="15616" width="9" style="30"/>
    <col min="15617" max="15617" width="5" style="30" customWidth="1"/>
    <col min="15618" max="15618" width="12.625" style="30" customWidth="1"/>
    <col min="15619" max="15619" width="12" style="30" customWidth="1"/>
    <col min="15620" max="15620" width="16.875" style="30" customWidth="1"/>
    <col min="15621" max="15622" width="4.125" style="30" customWidth="1"/>
    <col min="15623" max="15653" width="2.875" style="30" customWidth="1"/>
    <col min="15654" max="15655" width="4.125" style="30" customWidth="1"/>
    <col min="15656" max="15656" width="9.875" style="30" customWidth="1"/>
    <col min="15657" max="15657" width="9" style="30"/>
    <col min="15658" max="15658" width="13.75" style="30" customWidth="1"/>
    <col min="15659" max="15659" width="8.75" style="30" customWidth="1"/>
    <col min="15660" max="15662" width="4.5" style="30" customWidth="1"/>
    <col min="15663" max="15663" width="4" style="30" customWidth="1"/>
    <col min="15664" max="15664" width="3.75" style="30" customWidth="1"/>
    <col min="15665" max="15665" width="4.125" style="30" customWidth="1"/>
    <col min="15666" max="15666" width="3.75" style="30" customWidth="1"/>
    <col min="15667" max="15667" width="4.25" style="30" customWidth="1"/>
    <col min="15668" max="15668" width="4" style="30" customWidth="1"/>
    <col min="15669" max="15669" width="4.75" style="30" customWidth="1"/>
    <col min="15670" max="15872" width="9" style="30"/>
    <col min="15873" max="15873" width="5" style="30" customWidth="1"/>
    <col min="15874" max="15874" width="12.625" style="30" customWidth="1"/>
    <col min="15875" max="15875" width="12" style="30" customWidth="1"/>
    <col min="15876" max="15876" width="16.875" style="30" customWidth="1"/>
    <col min="15877" max="15878" width="4.125" style="30" customWidth="1"/>
    <col min="15879" max="15909" width="2.875" style="30" customWidth="1"/>
    <col min="15910" max="15911" width="4.125" style="30" customWidth="1"/>
    <col min="15912" max="15912" width="9.875" style="30" customWidth="1"/>
    <col min="15913" max="15913" width="9" style="30"/>
    <col min="15914" max="15914" width="13.75" style="30" customWidth="1"/>
    <col min="15915" max="15915" width="8.75" style="30" customWidth="1"/>
    <col min="15916" max="15918" width="4.5" style="30" customWidth="1"/>
    <col min="15919" max="15919" width="4" style="30" customWidth="1"/>
    <col min="15920" max="15920" width="3.75" style="30" customWidth="1"/>
    <col min="15921" max="15921" width="4.125" style="30" customWidth="1"/>
    <col min="15922" max="15922" width="3.75" style="30" customWidth="1"/>
    <col min="15923" max="15923" width="4.25" style="30" customWidth="1"/>
    <col min="15924" max="15924" width="4" style="30" customWidth="1"/>
    <col min="15925" max="15925" width="4.75" style="30" customWidth="1"/>
    <col min="15926" max="16128" width="9" style="30"/>
    <col min="16129" max="16129" width="5" style="30" customWidth="1"/>
    <col min="16130" max="16130" width="12.625" style="30" customWidth="1"/>
    <col min="16131" max="16131" width="12" style="30" customWidth="1"/>
    <col min="16132" max="16132" width="16.875" style="30" customWidth="1"/>
    <col min="16133" max="16134" width="4.125" style="30" customWidth="1"/>
    <col min="16135" max="16165" width="2.875" style="30" customWidth="1"/>
    <col min="16166" max="16167" width="4.125" style="30" customWidth="1"/>
    <col min="16168" max="16168" width="9.875" style="30" customWidth="1"/>
    <col min="16169" max="16169" width="9" style="30"/>
    <col min="16170" max="16170" width="13.75" style="30" customWidth="1"/>
    <col min="16171" max="16171" width="8.75" style="30" customWidth="1"/>
    <col min="16172" max="16174" width="4.5" style="30" customWidth="1"/>
    <col min="16175" max="16175" width="4" style="30" customWidth="1"/>
    <col min="16176" max="16176" width="3.75" style="30" customWidth="1"/>
    <col min="16177" max="16177" width="4.125" style="30" customWidth="1"/>
    <col min="16178" max="16178" width="3.75" style="30" customWidth="1"/>
    <col min="16179" max="16179" width="4.25" style="30" customWidth="1"/>
    <col min="16180" max="16180" width="4" style="30" customWidth="1"/>
    <col min="16181" max="16181" width="4.75" style="30" customWidth="1"/>
    <col min="16182" max="16384" width="9" style="30"/>
  </cols>
  <sheetData>
    <row r="1" spans="1:53" ht="30" customHeight="1" x14ac:dyDescent="0.45">
      <c r="A1" s="254" t="s">
        <v>97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X1" s="255" t="s">
        <v>33</v>
      </c>
      <c r="AY1" s="255"/>
      <c r="AZ1" s="255"/>
      <c r="BA1" s="255"/>
    </row>
    <row r="2" spans="1:53" s="31" customFormat="1" ht="20.45" customHeight="1" x14ac:dyDescent="0.5">
      <c r="A2" s="248" t="s">
        <v>120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R2" s="30"/>
      <c r="AS2" s="30"/>
      <c r="AT2" s="30"/>
      <c r="AU2" s="30"/>
      <c r="AV2" s="30"/>
      <c r="AW2" s="30" t="s">
        <v>34</v>
      </c>
      <c r="AX2" s="32" t="s">
        <v>35</v>
      </c>
      <c r="AY2" s="32" t="s">
        <v>16</v>
      </c>
      <c r="AZ2" s="32" t="s">
        <v>36</v>
      </c>
      <c r="BA2" s="32" t="s">
        <v>14</v>
      </c>
    </row>
    <row r="3" spans="1:53" ht="20.45" customHeight="1" x14ac:dyDescent="0.45">
      <c r="A3" s="256" t="s">
        <v>37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X3" s="33">
        <f>AX12</f>
        <v>0</v>
      </c>
      <c r="AY3" s="33">
        <f>AY12</f>
        <v>0</v>
      </c>
      <c r="AZ3" s="33">
        <f>AZ12</f>
        <v>0</v>
      </c>
      <c r="BA3" s="33">
        <f>BA12</f>
        <v>0</v>
      </c>
    </row>
    <row r="4" spans="1:53" s="35" customFormat="1" ht="20.45" customHeight="1" x14ac:dyDescent="0.2">
      <c r="A4" s="222" t="s">
        <v>38</v>
      </c>
      <c r="B4" s="236" t="s">
        <v>39</v>
      </c>
      <c r="C4" s="237"/>
      <c r="D4" s="158" t="s">
        <v>2</v>
      </c>
      <c r="E4" s="281" t="s">
        <v>99</v>
      </c>
      <c r="F4" s="282"/>
      <c r="G4" s="257" t="s">
        <v>41</v>
      </c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85" t="s">
        <v>42</v>
      </c>
      <c r="AM4" s="156" t="s">
        <v>43</v>
      </c>
      <c r="AN4" s="156" t="s">
        <v>43</v>
      </c>
      <c r="AO4" s="156" t="s">
        <v>44</v>
      </c>
      <c r="AP4" s="156" t="s">
        <v>45</v>
      </c>
      <c r="AR4" s="36" t="s">
        <v>35</v>
      </c>
      <c r="AS4" s="36" t="s">
        <v>46</v>
      </c>
      <c r="AT4" s="36" t="s">
        <v>16</v>
      </c>
      <c r="AU4" s="36" t="s">
        <v>47</v>
      </c>
      <c r="AV4" s="36" t="s">
        <v>36</v>
      </c>
      <c r="AW4" s="37" t="s">
        <v>14</v>
      </c>
      <c r="AX4" s="260" t="s">
        <v>48</v>
      </c>
      <c r="AY4" s="261"/>
      <c r="AZ4" s="261"/>
      <c r="BA4" s="262"/>
    </row>
    <row r="5" spans="1:53" s="35" customFormat="1" ht="20.45" customHeight="1" x14ac:dyDescent="0.2">
      <c r="A5" s="224"/>
      <c r="B5" s="159"/>
      <c r="C5" s="38"/>
      <c r="D5" s="160"/>
      <c r="E5" s="283"/>
      <c r="F5" s="284"/>
      <c r="G5" s="39">
        <v>1</v>
      </c>
      <c r="H5" s="40">
        <v>2</v>
      </c>
      <c r="I5" s="41">
        <v>3</v>
      </c>
      <c r="J5" s="41">
        <v>4</v>
      </c>
      <c r="K5" s="42">
        <v>5</v>
      </c>
      <c r="L5" s="127">
        <v>6</v>
      </c>
      <c r="M5" s="128">
        <v>7</v>
      </c>
      <c r="N5" s="44">
        <v>8</v>
      </c>
      <c r="O5" s="43">
        <v>9</v>
      </c>
      <c r="P5" s="45">
        <v>10</v>
      </c>
      <c r="Q5" s="44">
        <v>11</v>
      </c>
      <c r="R5" s="43">
        <v>12</v>
      </c>
      <c r="S5" s="135">
        <v>13</v>
      </c>
      <c r="T5" s="127">
        <v>14</v>
      </c>
      <c r="U5" s="43">
        <v>15</v>
      </c>
      <c r="V5" s="43">
        <v>16</v>
      </c>
      <c r="W5" s="46">
        <v>17</v>
      </c>
      <c r="X5" s="45">
        <v>18</v>
      </c>
      <c r="Y5" s="44">
        <v>19</v>
      </c>
      <c r="Z5" s="127">
        <v>20</v>
      </c>
      <c r="AA5" s="136">
        <v>21</v>
      </c>
      <c r="AB5" s="137">
        <v>22</v>
      </c>
      <c r="AC5" s="43">
        <v>23</v>
      </c>
      <c r="AD5" s="44">
        <v>24</v>
      </c>
      <c r="AE5" s="44">
        <v>25</v>
      </c>
      <c r="AF5" s="44">
        <v>26</v>
      </c>
      <c r="AG5" s="127">
        <v>27</v>
      </c>
      <c r="AH5" s="136">
        <v>28</v>
      </c>
      <c r="AI5" s="137">
        <v>29</v>
      </c>
      <c r="AJ5" s="40">
        <v>30</v>
      </c>
      <c r="AK5" s="47">
        <v>31</v>
      </c>
      <c r="AL5" s="286"/>
      <c r="AM5" s="157" t="s">
        <v>49</v>
      </c>
      <c r="AN5" s="157" t="s">
        <v>49</v>
      </c>
      <c r="AO5" s="157" t="s">
        <v>50</v>
      </c>
      <c r="AP5" s="157" t="s">
        <v>51</v>
      </c>
      <c r="AR5" s="49"/>
      <c r="AS5" s="49"/>
      <c r="AT5" s="49"/>
      <c r="AU5" s="49"/>
      <c r="AV5" s="49"/>
      <c r="AW5" s="49"/>
      <c r="AX5" s="50" t="s">
        <v>35</v>
      </c>
      <c r="AY5" s="50" t="s">
        <v>16</v>
      </c>
      <c r="AZ5" s="50" t="s">
        <v>36</v>
      </c>
      <c r="BA5" s="50" t="s">
        <v>14</v>
      </c>
    </row>
    <row r="6" spans="1:53" s="64" customFormat="1" ht="20.45" customHeight="1" x14ac:dyDescent="0.2">
      <c r="A6" s="188">
        <v>1</v>
      </c>
      <c r="B6" s="189" t="s">
        <v>25</v>
      </c>
      <c r="C6" s="190" t="s">
        <v>26</v>
      </c>
      <c r="D6" s="54" t="s">
        <v>98</v>
      </c>
      <c r="E6" s="287" t="s">
        <v>104</v>
      </c>
      <c r="F6" s="288"/>
      <c r="G6" s="56"/>
      <c r="H6" s="57"/>
      <c r="I6" s="58">
        <v>980</v>
      </c>
      <c r="J6" s="58"/>
      <c r="K6" s="58">
        <v>1650</v>
      </c>
      <c r="L6" s="129"/>
      <c r="M6" s="130"/>
      <c r="N6" s="58"/>
      <c r="O6" s="58"/>
      <c r="P6" s="57"/>
      <c r="Q6" s="58"/>
      <c r="R6" s="58"/>
      <c r="S6" s="129"/>
      <c r="T6" s="130"/>
      <c r="U6" s="58">
        <v>660</v>
      </c>
      <c r="V6" s="59"/>
      <c r="W6" s="57"/>
      <c r="X6" s="57"/>
      <c r="Y6" s="58"/>
      <c r="Z6" s="130"/>
      <c r="AA6" s="129"/>
      <c r="AB6" s="130"/>
      <c r="AC6" s="57"/>
      <c r="AD6" s="58"/>
      <c r="AE6" s="58"/>
      <c r="AF6" s="58"/>
      <c r="AG6" s="130"/>
      <c r="AH6" s="129"/>
      <c r="AI6" s="130"/>
      <c r="AJ6" s="58"/>
      <c r="AK6" s="60"/>
      <c r="AL6" s="191">
        <f>COUNT(G6:AK6)</f>
        <v>3</v>
      </c>
      <c r="AM6" s="192">
        <f>SUM(F6:AJ6)</f>
        <v>3290</v>
      </c>
      <c r="AN6" s="278">
        <f>SUM(AM6:AM8)</f>
        <v>16560</v>
      </c>
      <c r="AO6" s="242"/>
      <c r="AP6" s="274" t="s">
        <v>63</v>
      </c>
      <c r="AR6" s="65">
        <f>COUNTIF(G6:AK6,"ด")</f>
        <v>0</v>
      </c>
      <c r="AS6" s="65">
        <f>COUNTIF(G6:AK6,"ด/บ")</f>
        <v>0</v>
      </c>
      <c r="AT6" s="65">
        <f>COUNTIF(G6:AK6,"ช")</f>
        <v>0</v>
      </c>
      <c r="AU6" s="65">
        <f>COUNTIF(G6:AK6,"ช/บ")</f>
        <v>0</v>
      </c>
      <c r="AV6" s="65">
        <f>COUNTIF(G6:AK6,"บ")</f>
        <v>0</v>
      </c>
      <c r="AW6" s="65">
        <f>COUNTIF(G6:AK6,"BD")</f>
        <v>0</v>
      </c>
      <c r="AX6" s="66">
        <f t="shared" ref="AX6" si="0">AR6+AS6</f>
        <v>0</v>
      </c>
      <c r="AY6" s="66">
        <f t="shared" ref="AY6" si="1">AT6+AU6</f>
        <v>0</v>
      </c>
      <c r="AZ6" s="66">
        <f t="shared" ref="AZ6" si="2">AS6+AU6+AV6</f>
        <v>0</v>
      </c>
      <c r="BA6" s="66">
        <f>AW6</f>
        <v>0</v>
      </c>
    </row>
    <row r="7" spans="1:53" s="64" customFormat="1" ht="20.45" customHeight="1" x14ac:dyDescent="0.2">
      <c r="A7" s="177"/>
      <c r="B7" s="178"/>
      <c r="C7" s="179"/>
      <c r="D7" s="180"/>
      <c r="E7" s="289" t="s">
        <v>105</v>
      </c>
      <c r="F7" s="290"/>
      <c r="G7" s="181"/>
      <c r="H7" s="182"/>
      <c r="I7" s="176"/>
      <c r="J7" s="176"/>
      <c r="K7" s="176"/>
      <c r="L7" s="183">
        <v>3320</v>
      </c>
      <c r="M7" s="184"/>
      <c r="N7" s="176"/>
      <c r="O7" s="176"/>
      <c r="P7" s="182"/>
      <c r="Q7" s="176"/>
      <c r="R7" s="176"/>
      <c r="S7" s="183">
        <v>660</v>
      </c>
      <c r="T7" s="184"/>
      <c r="U7" s="176"/>
      <c r="V7" s="74"/>
      <c r="W7" s="182"/>
      <c r="X7" s="182"/>
      <c r="Y7" s="176"/>
      <c r="Z7" s="184"/>
      <c r="AA7" s="183"/>
      <c r="AB7" s="184"/>
      <c r="AC7" s="182"/>
      <c r="AD7" s="176"/>
      <c r="AE7" s="176"/>
      <c r="AF7" s="176"/>
      <c r="AG7" s="184"/>
      <c r="AH7" s="183"/>
      <c r="AI7" s="184"/>
      <c r="AJ7" s="176"/>
      <c r="AK7" s="185"/>
      <c r="AL7" s="84">
        <f t="shared" ref="AL7:AL8" si="3">COUNT(G7:AK7)</f>
        <v>2</v>
      </c>
      <c r="AM7" s="85">
        <f t="shared" ref="AM7:AM8" si="4">SUM(F7:AJ7)</f>
        <v>3980</v>
      </c>
      <c r="AN7" s="279"/>
      <c r="AO7" s="277"/>
      <c r="AP7" s="275"/>
      <c r="AR7" s="65"/>
      <c r="AS7" s="65"/>
      <c r="AT7" s="65"/>
      <c r="AU7" s="65"/>
      <c r="AV7" s="65"/>
      <c r="AW7" s="65"/>
      <c r="AX7" s="66"/>
      <c r="AY7" s="66"/>
      <c r="AZ7" s="66"/>
      <c r="BA7" s="66"/>
    </row>
    <row r="8" spans="1:53" s="64" customFormat="1" ht="20.45" customHeight="1" x14ac:dyDescent="0.2">
      <c r="A8" s="193"/>
      <c r="B8" s="194"/>
      <c r="C8" s="195"/>
      <c r="D8" s="196"/>
      <c r="E8" s="291" t="s">
        <v>106</v>
      </c>
      <c r="F8" s="292"/>
      <c r="G8" s="197"/>
      <c r="H8" s="198"/>
      <c r="I8" s="199"/>
      <c r="J8" s="199"/>
      <c r="K8" s="199"/>
      <c r="L8" s="200">
        <v>2240</v>
      </c>
      <c r="M8" s="201"/>
      <c r="N8" s="199"/>
      <c r="O8" s="199"/>
      <c r="P8" s="198">
        <v>2230</v>
      </c>
      <c r="Q8" s="199"/>
      <c r="R8" s="199"/>
      <c r="S8" s="200">
        <v>3600</v>
      </c>
      <c r="T8" s="201"/>
      <c r="U8" s="199">
        <v>660</v>
      </c>
      <c r="V8" s="199">
        <v>560</v>
      </c>
      <c r="W8" s="198"/>
      <c r="X8" s="198"/>
      <c r="Y8" s="199"/>
      <c r="Z8" s="201"/>
      <c r="AA8" s="200"/>
      <c r="AB8" s="201"/>
      <c r="AC8" s="198"/>
      <c r="AD8" s="199"/>
      <c r="AE8" s="199"/>
      <c r="AF8" s="199"/>
      <c r="AG8" s="201"/>
      <c r="AH8" s="200"/>
      <c r="AI8" s="201"/>
      <c r="AJ8" s="199"/>
      <c r="AK8" s="202"/>
      <c r="AL8" s="203">
        <f t="shared" si="3"/>
        <v>5</v>
      </c>
      <c r="AM8" s="204">
        <f t="shared" si="4"/>
        <v>9290</v>
      </c>
      <c r="AN8" s="280"/>
      <c r="AO8" s="243"/>
      <c r="AP8" s="276"/>
      <c r="AR8" s="65"/>
      <c r="AS8" s="65"/>
      <c r="AT8" s="65"/>
      <c r="AU8" s="65"/>
      <c r="AV8" s="65"/>
      <c r="AW8" s="65"/>
      <c r="AX8" s="66"/>
      <c r="AY8" s="66"/>
      <c r="AZ8" s="66"/>
      <c r="BA8" s="66"/>
    </row>
    <row r="9" spans="1:53" s="64" customFormat="1" ht="20.45" hidden="1" customHeight="1" x14ac:dyDescent="0.2">
      <c r="A9" s="175"/>
      <c r="B9" s="186"/>
      <c r="C9" s="186"/>
      <c r="D9" s="180"/>
      <c r="E9" s="291"/>
      <c r="F9" s="292"/>
      <c r="G9" s="181"/>
      <c r="H9" s="182"/>
      <c r="I9" s="176"/>
      <c r="J9" s="176"/>
      <c r="K9" s="176"/>
      <c r="L9" s="183"/>
      <c r="M9" s="184"/>
      <c r="N9" s="176"/>
      <c r="O9" s="176"/>
      <c r="P9" s="182"/>
      <c r="Q9" s="176"/>
      <c r="R9" s="176"/>
      <c r="S9" s="183"/>
      <c r="T9" s="184"/>
      <c r="U9" s="176"/>
      <c r="V9" s="176"/>
      <c r="W9" s="182"/>
      <c r="X9" s="182"/>
      <c r="Y9" s="176"/>
      <c r="Z9" s="184"/>
      <c r="AA9" s="183"/>
      <c r="AB9" s="184"/>
      <c r="AC9" s="182"/>
      <c r="AD9" s="176"/>
      <c r="AE9" s="176"/>
      <c r="AF9" s="176"/>
      <c r="AG9" s="184"/>
      <c r="AH9" s="183"/>
      <c r="AI9" s="184"/>
      <c r="AJ9" s="176"/>
      <c r="AK9" s="185"/>
      <c r="AL9" s="84"/>
      <c r="AM9" s="85"/>
      <c r="AN9" s="85"/>
      <c r="AO9" s="175"/>
      <c r="AP9" s="187"/>
      <c r="AR9" s="65">
        <f>COUNTIF(G9:AK9,"ด")</f>
        <v>0</v>
      </c>
      <c r="AS9" s="65">
        <f>COUNTIF(G9:AK9,"ด/บ")</f>
        <v>0</v>
      </c>
      <c r="AT9" s="65">
        <f>COUNTIF(G9:AK9,"ช")</f>
        <v>0</v>
      </c>
      <c r="AU9" s="65">
        <f>COUNTIF(G9:AK9,"ช/บ")</f>
        <v>0</v>
      </c>
      <c r="AV9" s="65">
        <f>COUNTIF(G9:AK9,"บ")</f>
        <v>0</v>
      </c>
      <c r="AW9" s="65">
        <f>COUNTIF(G9:AK9,"BD")</f>
        <v>0</v>
      </c>
      <c r="AX9" s="66">
        <f>AR9+AS9</f>
        <v>0</v>
      </c>
      <c r="AY9" s="66">
        <f>AT9+AU9</f>
        <v>0</v>
      </c>
      <c r="AZ9" s="66">
        <f>AS9+AU9+AV9</f>
        <v>0</v>
      </c>
      <c r="BA9" s="66">
        <f t="shared" ref="BA9" si="5">AW9</f>
        <v>0</v>
      </c>
    </row>
    <row r="10" spans="1:53" ht="20.45" customHeight="1" x14ac:dyDescent="0.45">
      <c r="A10" s="87"/>
      <c r="B10" s="88"/>
      <c r="C10" s="88"/>
      <c r="D10" s="89"/>
      <c r="E10" s="90"/>
      <c r="F10" s="90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263" t="s">
        <v>52</v>
      </c>
      <c r="AH10" s="263"/>
      <c r="AI10" s="263"/>
      <c r="AJ10" s="263"/>
      <c r="AK10" s="237"/>
      <c r="AL10" s="93">
        <f>SUM(AL6:AL9)</f>
        <v>10</v>
      </c>
      <c r="AM10" s="94">
        <f>SUM(AM6:AM9)</f>
        <v>16560</v>
      </c>
      <c r="AN10" s="94">
        <f>SUM(AN6:AN9)</f>
        <v>16560</v>
      </c>
      <c r="AO10" s="95"/>
      <c r="AP10" s="96"/>
      <c r="AR10" s="97"/>
      <c r="AS10" s="97"/>
      <c r="AT10" s="97"/>
      <c r="AU10" s="97"/>
      <c r="AV10" s="97"/>
      <c r="AW10" s="97"/>
      <c r="AX10" s="98"/>
      <c r="AY10" s="98"/>
      <c r="AZ10" s="98"/>
      <c r="BA10" s="98"/>
    </row>
    <row r="11" spans="1:53" ht="13.5" customHeight="1" x14ac:dyDescent="0.45">
      <c r="A11" s="162"/>
      <c r="B11" s="100"/>
      <c r="C11" s="100"/>
      <c r="D11" s="101"/>
      <c r="E11" s="162"/>
      <c r="F11" s="16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3"/>
      <c r="AL11" s="104"/>
      <c r="AM11" s="105"/>
      <c r="AN11" s="105"/>
      <c r="AO11" s="162"/>
      <c r="AP11" s="14"/>
      <c r="AR11" s="106"/>
      <c r="AS11" s="106"/>
      <c r="AT11" s="106"/>
      <c r="AU11" s="106"/>
      <c r="AV11" s="106"/>
      <c r="AW11" s="106"/>
      <c r="AX11" s="107"/>
      <c r="AY11" s="107"/>
      <c r="AZ11" s="107"/>
      <c r="BA11" s="107"/>
    </row>
    <row r="12" spans="1:53" ht="24.75" customHeight="1" x14ac:dyDescent="0.45">
      <c r="B12" s="119"/>
      <c r="C12" s="119"/>
      <c r="D12" s="119" t="s">
        <v>90</v>
      </c>
      <c r="E12" s="119"/>
      <c r="F12" s="271">
        <f>+AM10</f>
        <v>16560</v>
      </c>
      <c r="G12" s="271"/>
      <c r="H12" s="271"/>
      <c r="I12" s="119" t="s">
        <v>91</v>
      </c>
      <c r="K12" s="119"/>
      <c r="L12" s="119" t="s">
        <v>92</v>
      </c>
      <c r="M12" s="119"/>
      <c r="N12" s="119"/>
      <c r="O12" s="119"/>
      <c r="P12" s="119"/>
      <c r="Q12" s="264" t="str">
        <f>"("&amp;BAHTTEXT(AN10)&amp;")"</f>
        <v>(หนึ่งหมื่นหกพันห้าร้อยหกสิบบาทถ้วน)</v>
      </c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120"/>
      <c r="AG12" s="120"/>
      <c r="AH12" s="120"/>
      <c r="AI12" s="120"/>
      <c r="AJ12" s="120"/>
      <c r="AK12" s="120"/>
      <c r="AL12" s="108"/>
      <c r="AM12" s="13"/>
      <c r="AN12" s="13"/>
      <c r="AO12" s="13"/>
      <c r="AP12" s="13"/>
      <c r="AR12" s="106"/>
      <c r="AS12" s="106"/>
      <c r="AT12" s="106"/>
      <c r="AU12" s="106"/>
      <c r="AV12" s="106"/>
      <c r="AW12" s="106"/>
      <c r="AX12" s="109">
        <f>SUM(AX6:AX10)</f>
        <v>0</v>
      </c>
      <c r="AY12" s="109">
        <f>SUM(AY6:AY10)</f>
        <v>0</v>
      </c>
      <c r="AZ12" s="109">
        <f>SUM(AZ6:AZ10)</f>
        <v>0</v>
      </c>
      <c r="BA12" s="109">
        <f>SUM(BA6:BA10)</f>
        <v>0</v>
      </c>
    </row>
    <row r="13" spans="1:53" ht="11.25" customHeight="1" x14ac:dyDescent="0.45">
      <c r="A13" s="161"/>
      <c r="B13" s="161"/>
      <c r="C13" s="161"/>
      <c r="D13" s="110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11"/>
      <c r="AM13" s="161"/>
      <c r="AN13" s="161"/>
      <c r="AO13" s="161"/>
      <c r="AP13" s="161"/>
      <c r="AR13" s="106"/>
      <c r="AS13" s="106"/>
      <c r="AT13" s="106"/>
      <c r="AU13" s="106"/>
      <c r="AV13" s="106"/>
      <c r="AW13" s="106"/>
      <c r="AX13" s="112"/>
      <c r="AY13" s="112"/>
      <c r="AZ13" s="112"/>
      <c r="BA13" s="112"/>
    </row>
    <row r="14" spans="1:53" ht="20.45" customHeight="1" x14ac:dyDescent="0.45">
      <c r="A14" s="13"/>
      <c r="B14" s="13"/>
      <c r="C14" s="119"/>
      <c r="D14" s="119"/>
      <c r="E14" s="119" t="s">
        <v>58</v>
      </c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63"/>
      <c r="AN14" s="163"/>
      <c r="AO14" s="13"/>
      <c r="AP14" s="13"/>
      <c r="AR14" s="106"/>
      <c r="AS14" s="106"/>
      <c r="AT14" s="106"/>
      <c r="AU14" s="106"/>
      <c r="AV14" s="106"/>
      <c r="AW14" s="106"/>
      <c r="AX14" s="112"/>
      <c r="AY14" s="112"/>
      <c r="AZ14" s="112"/>
      <c r="BA14" s="112"/>
    </row>
    <row r="15" spans="1:53" ht="20.45" customHeight="1" x14ac:dyDescent="0.45">
      <c r="A15" s="13"/>
      <c r="B15" s="13"/>
      <c r="C15" s="13"/>
      <c r="D15" s="110"/>
      <c r="E15" s="13"/>
      <c r="F15" s="13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11"/>
      <c r="AM15" s="163"/>
      <c r="AN15" s="163"/>
      <c r="AO15" s="13"/>
      <c r="AP15" s="13"/>
      <c r="AR15" s="106"/>
      <c r="AS15" s="106"/>
      <c r="AT15" s="106"/>
      <c r="AU15" s="106"/>
      <c r="AV15" s="106"/>
      <c r="AW15" s="106"/>
      <c r="AX15" s="112"/>
      <c r="AY15" s="112"/>
      <c r="AZ15" s="112"/>
      <c r="BA15" s="112"/>
    </row>
    <row r="16" spans="1:53" ht="20.45" customHeight="1" x14ac:dyDescent="0.45">
      <c r="A16" s="13"/>
      <c r="B16" s="13"/>
      <c r="C16" s="13"/>
      <c r="D16" s="110"/>
      <c r="E16" s="13"/>
      <c r="F16" s="13"/>
      <c r="G16" s="13"/>
      <c r="H16" s="13"/>
      <c r="I16" s="13"/>
      <c r="J16" s="13"/>
      <c r="K16" s="13"/>
      <c r="L16" s="13"/>
      <c r="M16" s="13"/>
      <c r="N16" s="13" t="s">
        <v>54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s">
        <v>55</v>
      </c>
      <c r="AI16" s="13"/>
      <c r="AJ16" s="13"/>
      <c r="AK16" s="13"/>
      <c r="AL16" s="108"/>
      <c r="AM16" s="13"/>
      <c r="AN16" s="13"/>
      <c r="AO16" s="13"/>
      <c r="AP16" s="13"/>
      <c r="AR16" s="106"/>
      <c r="AS16" s="106"/>
      <c r="AT16" s="106"/>
      <c r="AU16" s="106"/>
      <c r="AV16" s="106"/>
      <c r="AW16" s="106"/>
      <c r="AX16" s="112"/>
      <c r="AY16" s="112"/>
      <c r="AZ16" s="112"/>
      <c r="BA16" s="112"/>
    </row>
    <row r="17" spans="1:53" ht="20.45" customHeight="1" x14ac:dyDescent="0.45">
      <c r="A17" s="161"/>
      <c r="B17" s="110"/>
      <c r="C17" s="13"/>
      <c r="D17" s="110"/>
      <c r="E17" s="13"/>
      <c r="F17" s="13"/>
      <c r="G17" s="13"/>
      <c r="H17" s="13"/>
      <c r="I17" s="13"/>
      <c r="J17" s="13"/>
      <c r="K17" s="13"/>
      <c r="L17" s="13"/>
      <c r="M17" s="13"/>
      <c r="N17" s="13" t="s">
        <v>100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10"/>
      <c r="AF17" s="110"/>
      <c r="AG17" s="110"/>
      <c r="AH17" s="13" t="s">
        <v>56</v>
      </c>
      <c r="AI17" s="13"/>
      <c r="AJ17" s="13"/>
      <c r="AK17" s="13"/>
      <c r="AL17" s="108"/>
      <c r="AM17" s="13"/>
      <c r="AN17" s="13"/>
      <c r="AO17" s="13"/>
      <c r="AP17" s="110"/>
      <c r="AR17" s="106"/>
      <c r="AS17" s="106"/>
      <c r="AT17" s="106"/>
      <c r="AU17" s="106"/>
      <c r="AV17" s="106"/>
      <c r="AW17" s="106"/>
      <c r="AX17" s="112"/>
      <c r="AY17" s="112"/>
      <c r="AZ17" s="112"/>
      <c r="BA17" s="112"/>
    </row>
    <row r="18" spans="1:53" ht="23.25" customHeight="1" x14ac:dyDescent="0.45">
      <c r="A18" s="161"/>
      <c r="B18" s="110"/>
      <c r="C18" s="13"/>
      <c r="D18" s="110"/>
      <c r="E18" s="13"/>
      <c r="F18" s="13"/>
      <c r="G18" s="13"/>
      <c r="H18" s="13"/>
      <c r="I18" s="13"/>
      <c r="J18" s="13"/>
      <c r="K18" s="13"/>
      <c r="L18" s="13"/>
      <c r="M18" s="13"/>
      <c r="N18" s="248" t="s">
        <v>101</v>
      </c>
      <c r="O18" s="248"/>
      <c r="P18" s="248"/>
      <c r="Q18" s="248"/>
      <c r="R18" s="248"/>
      <c r="S18" s="248"/>
      <c r="T18" s="119"/>
      <c r="U18" s="119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08"/>
      <c r="AM18" s="163"/>
      <c r="AN18" s="163"/>
      <c r="AO18" s="13"/>
      <c r="AP18" s="13"/>
      <c r="AQ18" s="13"/>
      <c r="AS18" s="114"/>
      <c r="AT18" s="106"/>
      <c r="AU18" s="106"/>
      <c r="AV18" s="106"/>
      <c r="AW18" s="106"/>
      <c r="AX18" s="112"/>
      <c r="AY18" s="112"/>
      <c r="AZ18" s="112"/>
      <c r="BA18" s="112"/>
    </row>
    <row r="19" spans="1:53" ht="23.25" customHeight="1" x14ac:dyDescent="0.45">
      <c r="A19" s="161"/>
      <c r="B19" s="110"/>
      <c r="C19" s="13"/>
      <c r="D19" s="1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08"/>
      <c r="AM19" s="163"/>
      <c r="AN19" s="163"/>
      <c r="AO19" s="13"/>
      <c r="AP19" s="13"/>
      <c r="AQ19" s="13"/>
      <c r="AS19" s="114"/>
      <c r="AT19" s="106"/>
      <c r="AU19" s="106"/>
      <c r="AV19" s="106"/>
      <c r="AW19" s="106"/>
      <c r="AX19" s="112"/>
      <c r="AY19" s="112"/>
      <c r="AZ19" s="112"/>
      <c r="BA19" s="112"/>
    </row>
    <row r="20" spans="1:53" ht="23.25" customHeight="1" thickBot="1" x14ac:dyDescent="0.5">
      <c r="A20" s="161"/>
      <c r="B20" s="110"/>
      <c r="C20" s="161"/>
      <c r="D20" s="110"/>
      <c r="E20" s="13"/>
      <c r="F20" s="13"/>
      <c r="G20" s="13"/>
      <c r="H20" s="13"/>
      <c r="I20" s="13"/>
      <c r="J20" s="13"/>
      <c r="K20" s="13"/>
      <c r="L20" s="13"/>
      <c r="M20" s="13"/>
      <c r="N20" s="13" t="s">
        <v>57</v>
      </c>
      <c r="O20" s="161"/>
      <c r="P20" s="161"/>
      <c r="Q20" s="161"/>
      <c r="R20" s="161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08"/>
      <c r="AM20" s="163"/>
      <c r="AN20" s="163"/>
      <c r="AO20" s="13"/>
      <c r="AP20" s="13"/>
      <c r="AQ20" s="13"/>
      <c r="AT20" s="106"/>
      <c r="AU20" s="106"/>
      <c r="AV20" s="106"/>
      <c r="AW20" s="106"/>
      <c r="AX20" s="112"/>
      <c r="AY20" s="112"/>
      <c r="AZ20" s="112"/>
      <c r="BA20" s="112"/>
    </row>
    <row r="21" spans="1:53" ht="22.5" x14ac:dyDescent="0.45">
      <c r="A21" s="162"/>
      <c r="B21" s="101"/>
      <c r="C21" s="13"/>
      <c r="D21" s="13"/>
      <c r="E21" s="13"/>
      <c r="F21" s="265" t="s">
        <v>59</v>
      </c>
      <c r="G21" s="266"/>
      <c r="H21" s="266"/>
      <c r="I21" s="266"/>
      <c r="J21" s="266"/>
      <c r="K21" s="266"/>
      <c r="L21" s="267"/>
      <c r="M21" s="13"/>
      <c r="N21" s="248" t="s">
        <v>102</v>
      </c>
      <c r="O21" s="248"/>
      <c r="P21" s="248"/>
      <c r="Q21" s="248"/>
      <c r="R21" s="248"/>
      <c r="S21" s="248"/>
      <c r="T21" s="119"/>
      <c r="U21" s="119"/>
      <c r="V21" s="119"/>
      <c r="AD21" s="13"/>
      <c r="AE21" s="13"/>
      <c r="AF21" s="13"/>
      <c r="AG21" s="13"/>
      <c r="AH21" s="13"/>
      <c r="AI21" s="13"/>
      <c r="AJ21" s="13"/>
      <c r="AK21" s="13"/>
      <c r="AL21" s="108"/>
      <c r="AM21" s="13"/>
      <c r="AN21" s="13"/>
      <c r="AO21" s="13"/>
      <c r="AP21" s="13"/>
      <c r="AQ21" s="13"/>
      <c r="AX21" s="112"/>
      <c r="AY21" s="112"/>
      <c r="AZ21" s="112"/>
      <c r="BA21" s="112"/>
    </row>
    <row r="22" spans="1:53" ht="21.75" thickBot="1" x14ac:dyDescent="0.5">
      <c r="A22" s="14"/>
      <c r="B22" s="14"/>
      <c r="C22" s="14"/>
      <c r="D22" s="101"/>
      <c r="E22" s="14"/>
      <c r="F22" s="268"/>
      <c r="G22" s="269"/>
      <c r="H22" s="269"/>
      <c r="I22" s="269"/>
      <c r="J22" s="269"/>
      <c r="K22" s="269"/>
      <c r="L22" s="270"/>
      <c r="M22" s="14"/>
      <c r="N22" s="256" t="s">
        <v>103</v>
      </c>
      <c r="O22" s="256"/>
      <c r="P22" s="256"/>
      <c r="Q22" s="256"/>
      <c r="R22" s="256"/>
      <c r="S22" s="256"/>
      <c r="T22" s="205"/>
      <c r="U22" s="205"/>
      <c r="V22" s="205"/>
      <c r="AD22" s="14"/>
      <c r="AE22" s="14"/>
      <c r="AF22" s="14"/>
      <c r="AG22" s="14"/>
      <c r="AH22" s="14"/>
      <c r="AI22" s="14"/>
      <c r="AJ22" s="14"/>
      <c r="AK22" s="14"/>
      <c r="AL22" s="115"/>
      <c r="AM22" s="105"/>
      <c r="AN22" s="105"/>
      <c r="AO22" s="14"/>
      <c r="AP22" s="14"/>
    </row>
  </sheetData>
  <sheetProtection password="CEEF" sheet="1" formatCells="0" formatColumns="0" formatRows="0" insertColumns="0" insertRows="0" insertHyperlinks="0" deleteColumns="0" deleteRows="0" sort="0" autoFilter="0" pivotTables="0"/>
  <mergeCells count="24">
    <mergeCell ref="F21:L22"/>
    <mergeCell ref="N22:S22"/>
    <mergeCell ref="E9:F9"/>
    <mergeCell ref="A1:AP1"/>
    <mergeCell ref="AX1:BA1"/>
    <mergeCell ref="A2:AP2"/>
    <mergeCell ref="A3:AP3"/>
    <mergeCell ref="A4:A5"/>
    <mergeCell ref="B4:C4"/>
    <mergeCell ref="G4:AK4"/>
    <mergeCell ref="AX4:BA4"/>
    <mergeCell ref="F12:H12"/>
    <mergeCell ref="E4:F5"/>
    <mergeCell ref="AL4:AL5"/>
    <mergeCell ref="E6:F6"/>
    <mergeCell ref="E7:F7"/>
    <mergeCell ref="E8:F8"/>
    <mergeCell ref="AG10:AK10"/>
    <mergeCell ref="Q12:AE12"/>
    <mergeCell ref="AP6:AP8"/>
    <mergeCell ref="AO6:AO8"/>
    <mergeCell ref="AN6:AN8"/>
    <mergeCell ref="N18:S18"/>
    <mergeCell ref="N21:S21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57" fitToHeight="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1FE5-3075-4906-96C1-500E9B9F5CE0}">
  <sheetPr>
    <tabColor theme="4" tint="0.59999389629810485"/>
    <pageSetUpPr fitToPage="1"/>
  </sheetPr>
  <dimension ref="A1:AZ24"/>
  <sheetViews>
    <sheetView showGridLines="0" workbookViewId="0">
      <selection activeCell="P11" sqref="P11"/>
    </sheetView>
  </sheetViews>
  <sheetFormatPr defaultRowHeight="21" x14ac:dyDescent="0.45"/>
  <cols>
    <col min="1" max="1" width="5" style="30" customWidth="1"/>
    <col min="2" max="2" width="12.625" style="30" customWidth="1"/>
    <col min="3" max="3" width="12" style="30" customWidth="1"/>
    <col min="4" max="4" width="11.375" style="116" customWidth="1"/>
    <col min="5" max="6" width="3.625" style="30" customWidth="1"/>
    <col min="7" max="37" width="4.375" style="30" customWidth="1"/>
    <col min="38" max="38" width="4.75" style="117" customWidth="1"/>
    <col min="39" max="39" width="9.875" style="118" customWidth="1"/>
    <col min="40" max="40" width="9" style="30"/>
    <col min="41" max="41" width="13.75" style="30" customWidth="1"/>
    <col min="42" max="42" width="8.75" style="30" customWidth="1"/>
    <col min="43" max="45" width="4.5" style="30" customWidth="1"/>
    <col min="46" max="46" width="4" style="30" customWidth="1"/>
    <col min="47" max="47" width="3.75" style="30" customWidth="1"/>
    <col min="48" max="48" width="4.125" style="30" customWidth="1"/>
    <col min="49" max="49" width="3.75" style="30" customWidth="1"/>
    <col min="50" max="50" width="4.25" style="30" customWidth="1"/>
    <col min="51" max="51" width="4" style="30" customWidth="1"/>
    <col min="52" max="52" width="4.75" style="30" customWidth="1"/>
    <col min="53" max="255" width="9" style="30"/>
    <col min="256" max="256" width="5" style="30" customWidth="1"/>
    <col min="257" max="257" width="12.625" style="30" customWidth="1"/>
    <col min="258" max="258" width="12" style="30" customWidth="1"/>
    <col min="259" max="259" width="16.875" style="30" customWidth="1"/>
    <col min="260" max="261" width="4.125" style="30" customWidth="1"/>
    <col min="262" max="292" width="2.875" style="30" customWidth="1"/>
    <col min="293" max="294" width="4.125" style="30" customWidth="1"/>
    <col min="295" max="295" width="9.875" style="30" customWidth="1"/>
    <col min="296" max="296" width="9" style="30"/>
    <col min="297" max="297" width="13.75" style="30" customWidth="1"/>
    <col min="298" max="298" width="8.75" style="30" customWidth="1"/>
    <col min="299" max="301" width="4.5" style="30" customWidth="1"/>
    <col min="302" max="302" width="4" style="30" customWidth="1"/>
    <col min="303" max="303" width="3.75" style="30" customWidth="1"/>
    <col min="304" max="304" width="4.125" style="30" customWidth="1"/>
    <col min="305" max="305" width="3.75" style="30" customWidth="1"/>
    <col min="306" max="306" width="4.25" style="30" customWidth="1"/>
    <col min="307" max="307" width="4" style="30" customWidth="1"/>
    <col min="308" max="308" width="4.75" style="30" customWidth="1"/>
    <col min="309" max="511" width="9" style="30"/>
    <col min="512" max="512" width="5" style="30" customWidth="1"/>
    <col min="513" max="513" width="12.625" style="30" customWidth="1"/>
    <col min="514" max="514" width="12" style="30" customWidth="1"/>
    <col min="515" max="515" width="16.875" style="30" customWidth="1"/>
    <col min="516" max="517" width="4.125" style="30" customWidth="1"/>
    <col min="518" max="548" width="2.875" style="30" customWidth="1"/>
    <col min="549" max="550" width="4.125" style="30" customWidth="1"/>
    <col min="551" max="551" width="9.875" style="30" customWidth="1"/>
    <col min="552" max="552" width="9" style="30"/>
    <col min="553" max="553" width="13.75" style="30" customWidth="1"/>
    <col min="554" max="554" width="8.75" style="30" customWidth="1"/>
    <col min="555" max="557" width="4.5" style="30" customWidth="1"/>
    <col min="558" max="558" width="4" style="30" customWidth="1"/>
    <col min="559" max="559" width="3.75" style="30" customWidth="1"/>
    <col min="560" max="560" width="4.125" style="30" customWidth="1"/>
    <col min="561" max="561" width="3.75" style="30" customWidth="1"/>
    <col min="562" max="562" width="4.25" style="30" customWidth="1"/>
    <col min="563" max="563" width="4" style="30" customWidth="1"/>
    <col min="564" max="564" width="4.75" style="30" customWidth="1"/>
    <col min="565" max="767" width="9" style="30"/>
    <col min="768" max="768" width="5" style="30" customWidth="1"/>
    <col min="769" max="769" width="12.625" style="30" customWidth="1"/>
    <col min="770" max="770" width="12" style="30" customWidth="1"/>
    <col min="771" max="771" width="16.875" style="30" customWidth="1"/>
    <col min="772" max="773" width="4.125" style="30" customWidth="1"/>
    <col min="774" max="804" width="2.875" style="30" customWidth="1"/>
    <col min="805" max="806" width="4.125" style="30" customWidth="1"/>
    <col min="807" max="807" width="9.875" style="30" customWidth="1"/>
    <col min="808" max="808" width="9" style="30"/>
    <col min="809" max="809" width="13.75" style="30" customWidth="1"/>
    <col min="810" max="810" width="8.75" style="30" customWidth="1"/>
    <col min="811" max="813" width="4.5" style="30" customWidth="1"/>
    <col min="814" max="814" width="4" style="30" customWidth="1"/>
    <col min="815" max="815" width="3.75" style="30" customWidth="1"/>
    <col min="816" max="816" width="4.125" style="30" customWidth="1"/>
    <col min="817" max="817" width="3.75" style="30" customWidth="1"/>
    <col min="818" max="818" width="4.25" style="30" customWidth="1"/>
    <col min="819" max="819" width="4" style="30" customWidth="1"/>
    <col min="820" max="820" width="4.75" style="30" customWidth="1"/>
    <col min="821" max="1023" width="9" style="30"/>
    <col min="1024" max="1024" width="5" style="30" customWidth="1"/>
    <col min="1025" max="1025" width="12.625" style="30" customWidth="1"/>
    <col min="1026" max="1026" width="12" style="30" customWidth="1"/>
    <col min="1027" max="1027" width="16.875" style="30" customWidth="1"/>
    <col min="1028" max="1029" width="4.125" style="30" customWidth="1"/>
    <col min="1030" max="1060" width="2.875" style="30" customWidth="1"/>
    <col min="1061" max="1062" width="4.125" style="30" customWidth="1"/>
    <col min="1063" max="1063" width="9.875" style="30" customWidth="1"/>
    <col min="1064" max="1064" width="9" style="30"/>
    <col min="1065" max="1065" width="13.75" style="30" customWidth="1"/>
    <col min="1066" max="1066" width="8.75" style="30" customWidth="1"/>
    <col min="1067" max="1069" width="4.5" style="30" customWidth="1"/>
    <col min="1070" max="1070" width="4" style="30" customWidth="1"/>
    <col min="1071" max="1071" width="3.75" style="30" customWidth="1"/>
    <col min="1072" max="1072" width="4.125" style="30" customWidth="1"/>
    <col min="1073" max="1073" width="3.75" style="30" customWidth="1"/>
    <col min="1074" max="1074" width="4.25" style="30" customWidth="1"/>
    <col min="1075" max="1075" width="4" style="30" customWidth="1"/>
    <col min="1076" max="1076" width="4.75" style="30" customWidth="1"/>
    <col min="1077" max="1279" width="9" style="30"/>
    <col min="1280" max="1280" width="5" style="30" customWidth="1"/>
    <col min="1281" max="1281" width="12.625" style="30" customWidth="1"/>
    <col min="1282" max="1282" width="12" style="30" customWidth="1"/>
    <col min="1283" max="1283" width="16.875" style="30" customWidth="1"/>
    <col min="1284" max="1285" width="4.125" style="30" customWidth="1"/>
    <col min="1286" max="1316" width="2.875" style="30" customWidth="1"/>
    <col min="1317" max="1318" width="4.125" style="30" customWidth="1"/>
    <col min="1319" max="1319" width="9.875" style="30" customWidth="1"/>
    <col min="1320" max="1320" width="9" style="30"/>
    <col min="1321" max="1321" width="13.75" style="30" customWidth="1"/>
    <col min="1322" max="1322" width="8.75" style="30" customWidth="1"/>
    <col min="1323" max="1325" width="4.5" style="30" customWidth="1"/>
    <col min="1326" max="1326" width="4" style="30" customWidth="1"/>
    <col min="1327" max="1327" width="3.75" style="30" customWidth="1"/>
    <col min="1328" max="1328" width="4.125" style="30" customWidth="1"/>
    <col min="1329" max="1329" width="3.75" style="30" customWidth="1"/>
    <col min="1330" max="1330" width="4.25" style="30" customWidth="1"/>
    <col min="1331" max="1331" width="4" style="30" customWidth="1"/>
    <col min="1332" max="1332" width="4.75" style="30" customWidth="1"/>
    <col min="1333" max="1535" width="9" style="30"/>
    <col min="1536" max="1536" width="5" style="30" customWidth="1"/>
    <col min="1537" max="1537" width="12.625" style="30" customWidth="1"/>
    <col min="1538" max="1538" width="12" style="30" customWidth="1"/>
    <col min="1539" max="1539" width="16.875" style="30" customWidth="1"/>
    <col min="1540" max="1541" width="4.125" style="30" customWidth="1"/>
    <col min="1542" max="1572" width="2.875" style="30" customWidth="1"/>
    <col min="1573" max="1574" width="4.125" style="30" customWidth="1"/>
    <col min="1575" max="1575" width="9.875" style="30" customWidth="1"/>
    <col min="1576" max="1576" width="9" style="30"/>
    <col min="1577" max="1577" width="13.75" style="30" customWidth="1"/>
    <col min="1578" max="1578" width="8.75" style="30" customWidth="1"/>
    <col min="1579" max="1581" width="4.5" style="30" customWidth="1"/>
    <col min="1582" max="1582" width="4" style="30" customWidth="1"/>
    <col min="1583" max="1583" width="3.75" style="30" customWidth="1"/>
    <col min="1584" max="1584" width="4.125" style="30" customWidth="1"/>
    <col min="1585" max="1585" width="3.75" style="30" customWidth="1"/>
    <col min="1586" max="1586" width="4.25" style="30" customWidth="1"/>
    <col min="1587" max="1587" width="4" style="30" customWidth="1"/>
    <col min="1588" max="1588" width="4.75" style="30" customWidth="1"/>
    <col min="1589" max="1791" width="9" style="30"/>
    <col min="1792" max="1792" width="5" style="30" customWidth="1"/>
    <col min="1793" max="1793" width="12.625" style="30" customWidth="1"/>
    <col min="1794" max="1794" width="12" style="30" customWidth="1"/>
    <col min="1795" max="1795" width="16.875" style="30" customWidth="1"/>
    <col min="1796" max="1797" width="4.125" style="30" customWidth="1"/>
    <col min="1798" max="1828" width="2.875" style="30" customWidth="1"/>
    <col min="1829" max="1830" width="4.125" style="30" customWidth="1"/>
    <col min="1831" max="1831" width="9.875" style="30" customWidth="1"/>
    <col min="1832" max="1832" width="9" style="30"/>
    <col min="1833" max="1833" width="13.75" style="30" customWidth="1"/>
    <col min="1834" max="1834" width="8.75" style="30" customWidth="1"/>
    <col min="1835" max="1837" width="4.5" style="30" customWidth="1"/>
    <col min="1838" max="1838" width="4" style="30" customWidth="1"/>
    <col min="1839" max="1839" width="3.75" style="30" customWidth="1"/>
    <col min="1840" max="1840" width="4.125" style="30" customWidth="1"/>
    <col min="1841" max="1841" width="3.75" style="30" customWidth="1"/>
    <col min="1842" max="1842" width="4.25" style="30" customWidth="1"/>
    <col min="1843" max="1843" width="4" style="30" customWidth="1"/>
    <col min="1844" max="1844" width="4.75" style="30" customWidth="1"/>
    <col min="1845" max="2047" width="9" style="30"/>
    <col min="2048" max="2048" width="5" style="30" customWidth="1"/>
    <col min="2049" max="2049" width="12.625" style="30" customWidth="1"/>
    <col min="2050" max="2050" width="12" style="30" customWidth="1"/>
    <col min="2051" max="2051" width="16.875" style="30" customWidth="1"/>
    <col min="2052" max="2053" width="4.125" style="30" customWidth="1"/>
    <col min="2054" max="2084" width="2.875" style="30" customWidth="1"/>
    <col min="2085" max="2086" width="4.125" style="30" customWidth="1"/>
    <col min="2087" max="2087" width="9.875" style="30" customWidth="1"/>
    <col min="2088" max="2088" width="9" style="30"/>
    <col min="2089" max="2089" width="13.75" style="30" customWidth="1"/>
    <col min="2090" max="2090" width="8.75" style="30" customWidth="1"/>
    <col min="2091" max="2093" width="4.5" style="30" customWidth="1"/>
    <col min="2094" max="2094" width="4" style="30" customWidth="1"/>
    <col min="2095" max="2095" width="3.75" style="30" customWidth="1"/>
    <col min="2096" max="2096" width="4.125" style="30" customWidth="1"/>
    <col min="2097" max="2097" width="3.75" style="30" customWidth="1"/>
    <col min="2098" max="2098" width="4.25" style="30" customWidth="1"/>
    <col min="2099" max="2099" width="4" style="30" customWidth="1"/>
    <col min="2100" max="2100" width="4.75" style="30" customWidth="1"/>
    <col min="2101" max="2303" width="9" style="30"/>
    <col min="2304" max="2304" width="5" style="30" customWidth="1"/>
    <col min="2305" max="2305" width="12.625" style="30" customWidth="1"/>
    <col min="2306" max="2306" width="12" style="30" customWidth="1"/>
    <col min="2307" max="2307" width="16.875" style="30" customWidth="1"/>
    <col min="2308" max="2309" width="4.125" style="30" customWidth="1"/>
    <col min="2310" max="2340" width="2.875" style="30" customWidth="1"/>
    <col min="2341" max="2342" width="4.125" style="30" customWidth="1"/>
    <col min="2343" max="2343" width="9.875" style="30" customWidth="1"/>
    <col min="2344" max="2344" width="9" style="30"/>
    <col min="2345" max="2345" width="13.75" style="30" customWidth="1"/>
    <col min="2346" max="2346" width="8.75" style="30" customWidth="1"/>
    <col min="2347" max="2349" width="4.5" style="30" customWidth="1"/>
    <col min="2350" max="2350" width="4" style="30" customWidth="1"/>
    <col min="2351" max="2351" width="3.75" style="30" customWidth="1"/>
    <col min="2352" max="2352" width="4.125" style="30" customWidth="1"/>
    <col min="2353" max="2353" width="3.75" style="30" customWidth="1"/>
    <col min="2354" max="2354" width="4.25" style="30" customWidth="1"/>
    <col min="2355" max="2355" width="4" style="30" customWidth="1"/>
    <col min="2356" max="2356" width="4.75" style="30" customWidth="1"/>
    <col min="2357" max="2559" width="9" style="30"/>
    <col min="2560" max="2560" width="5" style="30" customWidth="1"/>
    <col min="2561" max="2561" width="12.625" style="30" customWidth="1"/>
    <col min="2562" max="2562" width="12" style="30" customWidth="1"/>
    <col min="2563" max="2563" width="16.875" style="30" customWidth="1"/>
    <col min="2564" max="2565" width="4.125" style="30" customWidth="1"/>
    <col min="2566" max="2596" width="2.875" style="30" customWidth="1"/>
    <col min="2597" max="2598" width="4.125" style="30" customWidth="1"/>
    <col min="2599" max="2599" width="9.875" style="30" customWidth="1"/>
    <col min="2600" max="2600" width="9" style="30"/>
    <col min="2601" max="2601" width="13.75" style="30" customWidth="1"/>
    <col min="2602" max="2602" width="8.75" style="30" customWidth="1"/>
    <col min="2603" max="2605" width="4.5" style="30" customWidth="1"/>
    <col min="2606" max="2606" width="4" style="30" customWidth="1"/>
    <col min="2607" max="2607" width="3.75" style="30" customWidth="1"/>
    <col min="2608" max="2608" width="4.125" style="30" customWidth="1"/>
    <col min="2609" max="2609" width="3.75" style="30" customWidth="1"/>
    <col min="2610" max="2610" width="4.25" style="30" customWidth="1"/>
    <col min="2611" max="2611" width="4" style="30" customWidth="1"/>
    <col min="2612" max="2612" width="4.75" style="30" customWidth="1"/>
    <col min="2613" max="2815" width="9" style="30"/>
    <col min="2816" max="2816" width="5" style="30" customWidth="1"/>
    <col min="2817" max="2817" width="12.625" style="30" customWidth="1"/>
    <col min="2818" max="2818" width="12" style="30" customWidth="1"/>
    <col min="2819" max="2819" width="16.875" style="30" customWidth="1"/>
    <col min="2820" max="2821" width="4.125" style="30" customWidth="1"/>
    <col min="2822" max="2852" width="2.875" style="30" customWidth="1"/>
    <col min="2853" max="2854" width="4.125" style="30" customWidth="1"/>
    <col min="2855" max="2855" width="9.875" style="30" customWidth="1"/>
    <col min="2856" max="2856" width="9" style="30"/>
    <col min="2857" max="2857" width="13.75" style="30" customWidth="1"/>
    <col min="2858" max="2858" width="8.75" style="30" customWidth="1"/>
    <col min="2859" max="2861" width="4.5" style="30" customWidth="1"/>
    <col min="2862" max="2862" width="4" style="30" customWidth="1"/>
    <col min="2863" max="2863" width="3.75" style="30" customWidth="1"/>
    <col min="2864" max="2864" width="4.125" style="30" customWidth="1"/>
    <col min="2865" max="2865" width="3.75" style="30" customWidth="1"/>
    <col min="2866" max="2866" width="4.25" style="30" customWidth="1"/>
    <col min="2867" max="2867" width="4" style="30" customWidth="1"/>
    <col min="2868" max="2868" width="4.75" style="30" customWidth="1"/>
    <col min="2869" max="3071" width="9" style="30"/>
    <col min="3072" max="3072" width="5" style="30" customWidth="1"/>
    <col min="3073" max="3073" width="12.625" style="30" customWidth="1"/>
    <col min="3074" max="3074" width="12" style="30" customWidth="1"/>
    <col min="3075" max="3075" width="16.875" style="30" customWidth="1"/>
    <col min="3076" max="3077" width="4.125" style="30" customWidth="1"/>
    <col min="3078" max="3108" width="2.875" style="30" customWidth="1"/>
    <col min="3109" max="3110" width="4.125" style="30" customWidth="1"/>
    <col min="3111" max="3111" width="9.875" style="30" customWidth="1"/>
    <col min="3112" max="3112" width="9" style="30"/>
    <col min="3113" max="3113" width="13.75" style="30" customWidth="1"/>
    <col min="3114" max="3114" width="8.75" style="30" customWidth="1"/>
    <col min="3115" max="3117" width="4.5" style="30" customWidth="1"/>
    <col min="3118" max="3118" width="4" style="30" customWidth="1"/>
    <col min="3119" max="3119" width="3.75" style="30" customWidth="1"/>
    <col min="3120" max="3120" width="4.125" style="30" customWidth="1"/>
    <col min="3121" max="3121" width="3.75" style="30" customWidth="1"/>
    <col min="3122" max="3122" width="4.25" style="30" customWidth="1"/>
    <col min="3123" max="3123" width="4" style="30" customWidth="1"/>
    <col min="3124" max="3124" width="4.75" style="30" customWidth="1"/>
    <col min="3125" max="3327" width="9" style="30"/>
    <col min="3328" max="3328" width="5" style="30" customWidth="1"/>
    <col min="3329" max="3329" width="12.625" style="30" customWidth="1"/>
    <col min="3330" max="3330" width="12" style="30" customWidth="1"/>
    <col min="3331" max="3331" width="16.875" style="30" customWidth="1"/>
    <col min="3332" max="3333" width="4.125" style="30" customWidth="1"/>
    <col min="3334" max="3364" width="2.875" style="30" customWidth="1"/>
    <col min="3365" max="3366" width="4.125" style="30" customWidth="1"/>
    <col min="3367" max="3367" width="9.875" style="30" customWidth="1"/>
    <col min="3368" max="3368" width="9" style="30"/>
    <col min="3369" max="3369" width="13.75" style="30" customWidth="1"/>
    <col min="3370" max="3370" width="8.75" style="30" customWidth="1"/>
    <col min="3371" max="3373" width="4.5" style="30" customWidth="1"/>
    <col min="3374" max="3374" width="4" style="30" customWidth="1"/>
    <col min="3375" max="3375" width="3.75" style="30" customWidth="1"/>
    <col min="3376" max="3376" width="4.125" style="30" customWidth="1"/>
    <col min="3377" max="3377" width="3.75" style="30" customWidth="1"/>
    <col min="3378" max="3378" width="4.25" style="30" customWidth="1"/>
    <col min="3379" max="3379" width="4" style="30" customWidth="1"/>
    <col min="3380" max="3380" width="4.75" style="30" customWidth="1"/>
    <col min="3381" max="3583" width="9" style="30"/>
    <col min="3584" max="3584" width="5" style="30" customWidth="1"/>
    <col min="3585" max="3585" width="12.625" style="30" customWidth="1"/>
    <col min="3586" max="3586" width="12" style="30" customWidth="1"/>
    <col min="3587" max="3587" width="16.875" style="30" customWidth="1"/>
    <col min="3588" max="3589" width="4.125" style="30" customWidth="1"/>
    <col min="3590" max="3620" width="2.875" style="30" customWidth="1"/>
    <col min="3621" max="3622" width="4.125" style="30" customWidth="1"/>
    <col min="3623" max="3623" width="9.875" style="30" customWidth="1"/>
    <col min="3624" max="3624" width="9" style="30"/>
    <col min="3625" max="3625" width="13.75" style="30" customWidth="1"/>
    <col min="3626" max="3626" width="8.75" style="30" customWidth="1"/>
    <col min="3627" max="3629" width="4.5" style="30" customWidth="1"/>
    <col min="3630" max="3630" width="4" style="30" customWidth="1"/>
    <col min="3631" max="3631" width="3.75" style="30" customWidth="1"/>
    <col min="3632" max="3632" width="4.125" style="30" customWidth="1"/>
    <col min="3633" max="3633" width="3.75" style="30" customWidth="1"/>
    <col min="3634" max="3634" width="4.25" style="30" customWidth="1"/>
    <col min="3635" max="3635" width="4" style="30" customWidth="1"/>
    <col min="3636" max="3636" width="4.75" style="30" customWidth="1"/>
    <col min="3637" max="3839" width="9" style="30"/>
    <col min="3840" max="3840" width="5" style="30" customWidth="1"/>
    <col min="3841" max="3841" width="12.625" style="30" customWidth="1"/>
    <col min="3842" max="3842" width="12" style="30" customWidth="1"/>
    <col min="3843" max="3843" width="16.875" style="30" customWidth="1"/>
    <col min="3844" max="3845" width="4.125" style="30" customWidth="1"/>
    <col min="3846" max="3876" width="2.875" style="30" customWidth="1"/>
    <col min="3877" max="3878" width="4.125" style="30" customWidth="1"/>
    <col min="3879" max="3879" width="9.875" style="30" customWidth="1"/>
    <col min="3880" max="3880" width="9" style="30"/>
    <col min="3881" max="3881" width="13.75" style="30" customWidth="1"/>
    <col min="3882" max="3882" width="8.75" style="30" customWidth="1"/>
    <col min="3883" max="3885" width="4.5" style="30" customWidth="1"/>
    <col min="3886" max="3886" width="4" style="30" customWidth="1"/>
    <col min="3887" max="3887" width="3.75" style="30" customWidth="1"/>
    <col min="3888" max="3888" width="4.125" style="30" customWidth="1"/>
    <col min="3889" max="3889" width="3.75" style="30" customWidth="1"/>
    <col min="3890" max="3890" width="4.25" style="30" customWidth="1"/>
    <col min="3891" max="3891" width="4" style="30" customWidth="1"/>
    <col min="3892" max="3892" width="4.75" style="30" customWidth="1"/>
    <col min="3893" max="4095" width="9" style="30"/>
    <col min="4096" max="4096" width="5" style="30" customWidth="1"/>
    <col min="4097" max="4097" width="12.625" style="30" customWidth="1"/>
    <col min="4098" max="4098" width="12" style="30" customWidth="1"/>
    <col min="4099" max="4099" width="16.875" style="30" customWidth="1"/>
    <col min="4100" max="4101" width="4.125" style="30" customWidth="1"/>
    <col min="4102" max="4132" width="2.875" style="30" customWidth="1"/>
    <col min="4133" max="4134" width="4.125" style="30" customWidth="1"/>
    <col min="4135" max="4135" width="9.875" style="30" customWidth="1"/>
    <col min="4136" max="4136" width="9" style="30"/>
    <col min="4137" max="4137" width="13.75" style="30" customWidth="1"/>
    <col min="4138" max="4138" width="8.75" style="30" customWidth="1"/>
    <col min="4139" max="4141" width="4.5" style="30" customWidth="1"/>
    <col min="4142" max="4142" width="4" style="30" customWidth="1"/>
    <col min="4143" max="4143" width="3.75" style="30" customWidth="1"/>
    <col min="4144" max="4144" width="4.125" style="30" customWidth="1"/>
    <col min="4145" max="4145" width="3.75" style="30" customWidth="1"/>
    <col min="4146" max="4146" width="4.25" style="30" customWidth="1"/>
    <col min="4147" max="4147" width="4" style="30" customWidth="1"/>
    <col min="4148" max="4148" width="4.75" style="30" customWidth="1"/>
    <col min="4149" max="4351" width="9" style="30"/>
    <col min="4352" max="4352" width="5" style="30" customWidth="1"/>
    <col min="4353" max="4353" width="12.625" style="30" customWidth="1"/>
    <col min="4354" max="4354" width="12" style="30" customWidth="1"/>
    <col min="4355" max="4355" width="16.875" style="30" customWidth="1"/>
    <col min="4356" max="4357" width="4.125" style="30" customWidth="1"/>
    <col min="4358" max="4388" width="2.875" style="30" customWidth="1"/>
    <col min="4389" max="4390" width="4.125" style="30" customWidth="1"/>
    <col min="4391" max="4391" width="9.875" style="30" customWidth="1"/>
    <col min="4392" max="4392" width="9" style="30"/>
    <col min="4393" max="4393" width="13.75" style="30" customWidth="1"/>
    <col min="4394" max="4394" width="8.75" style="30" customWidth="1"/>
    <col min="4395" max="4397" width="4.5" style="30" customWidth="1"/>
    <col min="4398" max="4398" width="4" style="30" customWidth="1"/>
    <col min="4399" max="4399" width="3.75" style="30" customWidth="1"/>
    <col min="4400" max="4400" width="4.125" style="30" customWidth="1"/>
    <col min="4401" max="4401" width="3.75" style="30" customWidth="1"/>
    <col min="4402" max="4402" width="4.25" style="30" customWidth="1"/>
    <col min="4403" max="4403" width="4" style="30" customWidth="1"/>
    <col min="4404" max="4404" width="4.75" style="30" customWidth="1"/>
    <col min="4405" max="4607" width="9" style="30"/>
    <col min="4608" max="4608" width="5" style="30" customWidth="1"/>
    <col min="4609" max="4609" width="12.625" style="30" customWidth="1"/>
    <col min="4610" max="4610" width="12" style="30" customWidth="1"/>
    <col min="4611" max="4611" width="16.875" style="30" customWidth="1"/>
    <col min="4612" max="4613" width="4.125" style="30" customWidth="1"/>
    <col min="4614" max="4644" width="2.875" style="30" customWidth="1"/>
    <col min="4645" max="4646" width="4.125" style="30" customWidth="1"/>
    <col min="4647" max="4647" width="9.875" style="30" customWidth="1"/>
    <col min="4648" max="4648" width="9" style="30"/>
    <col min="4649" max="4649" width="13.75" style="30" customWidth="1"/>
    <col min="4650" max="4650" width="8.75" style="30" customWidth="1"/>
    <col min="4651" max="4653" width="4.5" style="30" customWidth="1"/>
    <col min="4654" max="4654" width="4" style="30" customWidth="1"/>
    <col min="4655" max="4655" width="3.75" style="30" customWidth="1"/>
    <col min="4656" max="4656" width="4.125" style="30" customWidth="1"/>
    <col min="4657" max="4657" width="3.75" style="30" customWidth="1"/>
    <col min="4658" max="4658" width="4.25" style="30" customWidth="1"/>
    <col min="4659" max="4659" width="4" style="30" customWidth="1"/>
    <col min="4660" max="4660" width="4.75" style="30" customWidth="1"/>
    <col min="4661" max="4863" width="9" style="30"/>
    <col min="4864" max="4864" width="5" style="30" customWidth="1"/>
    <col min="4865" max="4865" width="12.625" style="30" customWidth="1"/>
    <col min="4866" max="4866" width="12" style="30" customWidth="1"/>
    <col min="4867" max="4867" width="16.875" style="30" customWidth="1"/>
    <col min="4868" max="4869" width="4.125" style="30" customWidth="1"/>
    <col min="4870" max="4900" width="2.875" style="30" customWidth="1"/>
    <col min="4901" max="4902" width="4.125" style="30" customWidth="1"/>
    <col min="4903" max="4903" width="9.875" style="30" customWidth="1"/>
    <col min="4904" max="4904" width="9" style="30"/>
    <col min="4905" max="4905" width="13.75" style="30" customWidth="1"/>
    <col min="4906" max="4906" width="8.75" style="30" customWidth="1"/>
    <col min="4907" max="4909" width="4.5" style="30" customWidth="1"/>
    <col min="4910" max="4910" width="4" style="30" customWidth="1"/>
    <col min="4911" max="4911" width="3.75" style="30" customWidth="1"/>
    <col min="4912" max="4912" width="4.125" style="30" customWidth="1"/>
    <col min="4913" max="4913" width="3.75" style="30" customWidth="1"/>
    <col min="4914" max="4914" width="4.25" style="30" customWidth="1"/>
    <col min="4915" max="4915" width="4" style="30" customWidth="1"/>
    <col min="4916" max="4916" width="4.75" style="30" customWidth="1"/>
    <col min="4917" max="5119" width="9" style="30"/>
    <col min="5120" max="5120" width="5" style="30" customWidth="1"/>
    <col min="5121" max="5121" width="12.625" style="30" customWidth="1"/>
    <col min="5122" max="5122" width="12" style="30" customWidth="1"/>
    <col min="5123" max="5123" width="16.875" style="30" customWidth="1"/>
    <col min="5124" max="5125" width="4.125" style="30" customWidth="1"/>
    <col min="5126" max="5156" width="2.875" style="30" customWidth="1"/>
    <col min="5157" max="5158" width="4.125" style="30" customWidth="1"/>
    <col min="5159" max="5159" width="9.875" style="30" customWidth="1"/>
    <col min="5160" max="5160" width="9" style="30"/>
    <col min="5161" max="5161" width="13.75" style="30" customWidth="1"/>
    <col min="5162" max="5162" width="8.75" style="30" customWidth="1"/>
    <col min="5163" max="5165" width="4.5" style="30" customWidth="1"/>
    <col min="5166" max="5166" width="4" style="30" customWidth="1"/>
    <col min="5167" max="5167" width="3.75" style="30" customWidth="1"/>
    <col min="5168" max="5168" width="4.125" style="30" customWidth="1"/>
    <col min="5169" max="5169" width="3.75" style="30" customWidth="1"/>
    <col min="5170" max="5170" width="4.25" style="30" customWidth="1"/>
    <col min="5171" max="5171" width="4" style="30" customWidth="1"/>
    <col min="5172" max="5172" width="4.75" style="30" customWidth="1"/>
    <col min="5173" max="5375" width="9" style="30"/>
    <col min="5376" max="5376" width="5" style="30" customWidth="1"/>
    <col min="5377" max="5377" width="12.625" style="30" customWidth="1"/>
    <col min="5378" max="5378" width="12" style="30" customWidth="1"/>
    <col min="5379" max="5379" width="16.875" style="30" customWidth="1"/>
    <col min="5380" max="5381" width="4.125" style="30" customWidth="1"/>
    <col min="5382" max="5412" width="2.875" style="30" customWidth="1"/>
    <col min="5413" max="5414" width="4.125" style="30" customWidth="1"/>
    <col min="5415" max="5415" width="9.875" style="30" customWidth="1"/>
    <col min="5416" max="5416" width="9" style="30"/>
    <col min="5417" max="5417" width="13.75" style="30" customWidth="1"/>
    <col min="5418" max="5418" width="8.75" style="30" customWidth="1"/>
    <col min="5419" max="5421" width="4.5" style="30" customWidth="1"/>
    <col min="5422" max="5422" width="4" style="30" customWidth="1"/>
    <col min="5423" max="5423" width="3.75" style="30" customWidth="1"/>
    <col min="5424" max="5424" width="4.125" style="30" customWidth="1"/>
    <col min="5425" max="5425" width="3.75" style="30" customWidth="1"/>
    <col min="5426" max="5426" width="4.25" style="30" customWidth="1"/>
    <col min="5427" max="5427" width="4" style="30" customWidth="1"/>
    <col min="5428" max="5428" width="4.75" style="30" customWidth="1"/>
    <col min="5429" max="5631" width="9" style="30"/>
    <col min="5632" max="5632" width="5" style="30" customWidth="1"/>
    <col min="5633" max="5633" width="12.625" style="30" customWidth="1"/>
    <col min="5634" max="5634" width="12" style="30" customWidth="1"/>
    <col min="5635" max="5635" width="16.875" style="30" customWidth="1"/>
    <col min="5636" max="5637" width="4.125" style="30" customWidth="1"/>
    <col min="5638" max="5668" width="2.875" style="30" customWidth="1"/>
    <col min="5669" max="5670" width="4.125" style="30" customWidth="1"/>
    <col min="5671" max="5671" width="9.875" style="30" customWidth="1"/>
    <col min="5672" max="5672" width="9" style="30"/>
    <col min="5673" max="5673" width="13.75" style="30" customWidth="1"/>
    <col min="5674" max="5674" width="8.75" style="30" customWidth="1"/>
    <col min="5675" max="5677" width="4.5" style="30" customWidth="1"/>
    <col min="5678" max="5678" width="4" style="30" customWidth="1"/>
    <col min="5679" max="5679" width="3.75" style="30" customWidth="1"/>
    <col min="5680" max="5680" width="4.125" style="30" customWidth="1"/>
    <col min="5681" max="5681" width="3.75" style="30" customWidth="1"/>
    <col min="5682" max="5682" width="4.25" style="30" customWidth="1"/>
    <col min="5683" max="5683" width="4" style="30" customWidth="1"/>
    <col min="5684" max="5684" width="4.75" style="30" customWidth="1"/>
    <col min="5685" max="5887" width="9" style="30"/>
    <col min="5888" max="5888" width="5" style="30" customWidth="1"/>
    <col min="5889" max="5889" width="12.625" style="30" customWidth="1"/>
    <col min="5890" max="5890" width="12" style="30" customWidth="1"/>
    <col min="5891" max="5891" width="16.875" style="30" customWidth="1"/>
    <col min="5892" max="5893" width="4.125" style="30" customWidth="1"/>
    <col min="5894" max="5924" width="2.875" style="30" customWidth="1"/>
    <col min="5925" max="5926" width="4.125" style="30" customWidth="1"/>
    <col min="5927" max="5927" width="9.875" style="30" customWidth="1"/>
    <col min="5928" max="5928" width="9" style="30"/>
    <col min="5929" max="5929" width="13.75" style="30" customWidth="1"/>
    <col min="5930" max="5930" width="8.75" style="30" customWidth="1"/>
    <col min="5931" max="5933" width="4.5" style="30" customWidth="1"/>
    <col min="5934" max="5934" width="4" style="30" customWidth="1"/>
    <col min="5935" max="5935" width="3.75" style="30" customWidth="1"/>
    <col min="5936" max="5936" width="4.125" style="30" customWidth="1"/>
    <col min="5937" max="5937" width="3.75" style="30" customWidth="1"/>
    <col min="5938" max="5938" width="4.25" style="30" customWidth="1"/>
    <col min="5939" max="5939" width="4" style="30" customWidth="1"/>
    <col min="5940" max="5940" width="4.75" style="30" customWidth="1"/>
    <col min="5941" max="6143" width="9" style="30"/>
    <col min="6144" max="6144" width="5" style="30" customWidth="1"/>
    <col min="6145" max="6145" width="12.625" style="30" customWidth="1"/>
    <col min="6146" max="6146" width="12" style="30" customWidth="1"/>
    <col min="6147" max="6147" width="16.875" style="30" customWidth="1"/>
    <col min="6148" max="6149" width="4.125" style="30" customWidth="1"/>
    <col min="6150" max="6180" width="2.875" style="30" customWidth="1"/>
    <col min="6181" max="6182" width="4.125" style="30" customWidth="1"/>
    <col min="6183" max="6183" width="9.875" style="30" customWidth="1"/>
    <col min="6184" max="6184" width="9" style="30"/>
    <col min="6185" max="6185" width="13.75" style="30" customWidth="1"/>
    <col min="6186" max="6186" width="8.75" style="30" customWidth="1"/>
    <col min="6187" max="6189" width="4.5" style="30" customWidth="1"/>
    <col min="6190" max="6190" width="4" style="30" customWidth="1"/>
    <col min="6191" max="6191" width="3.75" style="30" customWidth="1"/>
    <col min="6192" max="6192" width="4.125" style="30" customWidth="1"/>
    <col min="6193" max="6193" width="3.75" style="30" customWidth="1"/>
    <col min="6194" max="6194" width="4.25" style="30" customWidth="1"/>
    <col min="6195" max="6195" width="4" style="30" customWidth="1"/>
    <col min="6196" max="6196" width="4.75" style="30" customWidth="1"/>
    <col min="6197" max="6399" width="9" style="30"/>
    <col min="6400" max="6400" width="5" style="30" customWidth="1"/>
    <col min="6401" max="6401" width="12.625" style="30" customWidth="1"/>
    <col min="6402" max="6402" width="12" style="30" customWidth="1"/>
    <col min="6403" max="6403" width="16.875" style="30" customWidth="1"/>
    <col min="6404" max="6405" width="4.125" style="30" customWidth="1"/>
    <col min="6406" max="6436" width="2.875" style="30" customWidth="1"/>
    <col min="6437" max="6438" width="4.125" style="30" customWidth="1"/>
    <col min="6439" max="6439" width="9.875" style="30" customWidth="1"/>
    <col min="6440" max="6440" width="9" style="30"/>
    <col min="6441" max="6441" width="13.75" style="30" customWidth="1"/>
    <col min="6442" max="6442" width="8.75" style="30" customWidth="1"/>
    <col min="6443" max="6445" width="4.5" style="30" customWidth="1"/>
    <col min="6446" max="6446" width="4" style="30" customWidth="1"/>
    <col min="6447" max="6447" width="3.75" style="30" customWidth="1"/>
    <col min="6448" max="6448" width="4.125" style="30" customWidth="1"/>
    <col min="6449" max="6449" width="3.75" style="30" customWidth="1"/>
    <col min="6450" max="6450" width="4.25" style="30" customWidth="1"/>
    <col min="6451" max="6451" width="4" style="30" customWidth="1"/>
    <col min="6452" max="6452" width="4.75" style="30" customWidth="1"/>
    <col min="6453" max="6655" width="9" style="30"/>
    <col min="6656" max="6656" width="5" style="30" customWidth="1"/>
    <col min="6657" max="6657" width="12.625" style="30" customWidth="1"/>
    <col min="6658" max="6658" width="12" style="30" customWidth="1"/>
    <col min="6659" max="6659" width="16.875" style="30" customWidth="1"/>
    <col min="6660" max="6661" width="4.125" style="30" customWidth="1"/>
    <col min="6662" max="6692" width="2.875" style="30" customWidth="1"/>
    <col min="6693" max="6694" width="4.125" style="30" customWidth="1"/>
    <col min="6695" max="6695" width="9.875" style="30" customWidth="1"/>
    <col min="6696" max="6696" width="9" style="30"/>
    <col min="6697" max="6697" width="13.75" style="30" customWidth="1"/>
    <col min="6698" max="6698" width="8.75" style="30" customWidth="1"/>
    <col min="6699" max="6701" width="4.5" style="30" customWidth="1"/>
    <col min="6702" max="6702" width="4" style="30" customWidth="1"/>
    <col min="6703" max="6703" width="3.75" style="30" customWidth="1"/>
    <col min="6704" max="6704" width="4.125" style="30" customWidth="1"/>
    <col min="6705" max="6705" width="3.75" style="30" customWidth="1"/>
    <col min="6706" max="6706" width="4.25" style="30" customWidth="1"/>
    <col min="6707" max="6707" width="4" style="30" customWidth="1"/>
    <col min="6708" max="6708" width="4.75" style="30" customWidth="1"/>
    <col min="6709" max="6911" width="9" style="30"/>
    <col min="6912" max="6912" width="5" style="30" customWidth="1"/>
    <col min="6913" max="6913" width="12.625" style="30" customWidth="1"/>
    <col min="6914" max="6914" width="12" style="30" customWidth="1"/>
    <col min="6915" max="6915" width="16.875" style="30" customWidth="1"/>
    <col min="6916" max="6917" width="4.125" style="30" customWidth="1"/>
    <col min="6918" max="6948" width="2.875" style="30" customWidth="1"/>
    <col min="6949" max="6950" width="4.125" style="30" customWidth="1"/>
    <col min="6951" max="6951" width="9.875" style="30" customWidth="1"/>
    <col min="6952" max="6952" width="9" style="30"/>
    <col min="6953" max="6953" width="13.75" style="30" customWidth="1"/>
    <col min="6954" max="6954" width="8.75" style="30" customWidth="1"/>
    <col min="6955" max="6957" width="4.5" style="30" customWidth="1"/>
    <col min="6958" max="6958" width="4" style="30" customWidth="1"/>
    <col min="6959" max="6959" width="3.75" style="30" customWidth="1"/>
    <col min="6960" max="6960" width="4.125" style="30" customWidth="1"/>
    <col min="6961" max="6961" width="3.75" style="30" customWidth="1"/>
    <col min="6962" max="6962" width="4.25" style="30" customWidth="1"/>
    <col min="6963" max="6963" width="4" style="30" customWidth="1"/>
    <col min="6964" max="6964" width="4.75" style="30" customWidth="1"/>
    <col min="6965" max="7167" width="9" style="30"/>
    <col min="7168" max="7168" width="5" style="30" customWidth="1"/>
    <col min="7169" max="7169" width="12.625" style="30" customWidth="1"/>
    <col min="7170" max="7170" width="12" style="30" customWidth="1"/>
    <col min="7171" max="7171" width="16.875" style="30" customWidth="1"/>
    <col min="7172" max="7173" width="4.125" style="30" customWidth="1"/>
    <col min="7174" max="7204" width="2.875" style="30" customWidth="1"/>
    <col min="7205" max="7206" width="4.125" style="30" customWidth="1"/>
    <col min="7207" max="7207" width="9.875" style="30" customWidth="1"/>
    <col min="7208" max="7208" width="9" style="30"/>
    <col min="7209" max="7209" width="13.75" style="30" customWidth="1"/>
    <col min="7210" max="7210" width="8.75" style="30" customWidth="1"/>
    <col min="7211" max="7213" width="4.5" style="30" customWidth="1"/>
    <col min="7214" max="7214" width="4" style="30" customWidth="1"/>
    <col min="7215" max="7215" width="3.75" style="30" customWidth="1"/>
    <col min="7216" max="7216" width="4.125" style="30" customWidth="1"/>
    <col min="7217" max="7217" width="3.75" style="30" customWidth="1"/>
    <col min="7218" max="7218" width="4.25" style="30" customWidth="1"/>
    <col min="7219" max="7219" width="4" style="30" customWidth="1"/>
    <col min="7220" max="7220" width="4.75" style="30" customWidth="1"/>
    <col min="7221" max="7423" width="9" style="30"/>
    <col min="7424" max="7424" width="5" style="30" customWidth="1"/>
    <col min="7425" max="7425" width="12.625" style="30" customWidth="1"/>
    <col min="7426" max="7426" width="12" style="30" customWidth="1"/>
    <col min="7427" max="7427" width="16.875" style="30" customWidth="1"/>
    <col min="7428" max="7429" width="4.125" style="30" customWidth="1"/>
    <col min="7430" max="7460" width="2.875" style="30" customWidth="1"/>
    <col min="7461" max="7462" width="4.125" style="30" customWidth="1"/>
    <col min="7463" max="7463" width="9.875" style="30" customWidth="1"/>
    <col min="7464" max="7464" width="9" style="30"/>
    <col min="7465" max="7465" width="13.75" style="30" customWidth="1"/>
    <col min="7466" max="7466" width="8.75" style="30" customWidth="1"/>
    <col min="7467" max="7469" width="4.5" style="30" customWidth="1"/>
    <col min="7470" max="7470" width="4" style="30" customWidth="1"/>
    <col min="7471" max="7471" width="3.75" style="30" customWidth="1"/>
    <col min="7472" max="7472" width="4.125" style="30" customWidth="1"/>
    <col min="7473" max="7473" width="3.75" style="30" customWidth="1"/>
    <col min="7474" max="7474" width="4.25" style="30" customWidth="1"/>
    <col min="7475" max="7475" width="4" style="30" customWidth="1"/>
    <col min="7476" max="7476" width="4.75" style="30" customWidth="1"/>
    <col min="7477" max="7679" width="9" style="30"/>
    <col min="7680" max="7680" width="5" style="30" customWidth="1"/>
    <col min="7681" max="7681" width="12.625" style="30" customWidth="1"/>
    <col min="7682" max="7682" width="12" style="30" customWidth="1"/>
    <col min="7683" max="7683" width="16.875" style="30" customWidth="1"/>
    <col min="7684" max="7685" width="4.125" style="30" customWidth="1"/>
    <col min="7686" max="7716" width="2.875" style="30" customWidth="1"/>
    <col min="7717" max="7718" width="4.125" style="30" customWidth="1"/>
    <col min="7719" max="7719" width="9.875" style="30" customWidth="1"/>
    <col min="7720" max="7720" width="9" style="30"/>
    <col min="7721" max="7721" width="13.75" style="30" customWidth="1"/>
    <col min="7722" max="7722" width="8.75" style="30" customWidth="1"/>
    <col min="7723" max="7725" width="4.5" style="30" customWidth="1"/>
    <col min="7726" max="7726" width="4" style="30" customWidth="1"/>
    <col min="7727" max="7727" width="3.75" style="30" customWidth="1"/>
    <col min="7728" max="7728" width="4.125" style="30" customWidth="1"/>
    <col min="7729" max="7729" width="3.75" style="30" customWidth="1"/>
    <col min="7730" max="7730" width="4.25" style="30" customWidth="1"/>
    <col min="7731" max="7731" width="4" style="30" customWidth="1"/>
    <col min="7732" max="7732" width="4.75" style="30" customWidth="1"/>
    <col min="7733" max="7935" width="9" style="30"/>
    <col min="7936" max="7936" width="5" style="30" customWidth="1"/>
    <col min="7937" max="7937" width="12.625" style="30" customWidth="1"/>
    <col min="7938" max="7938" width="12" style="30" customWidth="1"/>
    <col min="7939" max="7939" width="16.875" style="30" customWidth="1"/>
    <col min="7940" max="7941" width="4.125" style="30" customWidth="1"/>
    <col min="7942" max="7972" width="2.875" style="30" customWidth="1"/>
    <col min="7973" max="7974" width="4.125" style="30" customWidth="1"/>
    <col min="7975" max="7975" width="9.875" style="30" customWidth="1"/>
    <col min="7976" max="7976" width="9" style="30"/>
    <col min="7977" max="7977" width="13.75" style="30" customWidth="1"/>
    <col min="7978" max="7978" width="8.75" style="30" customWidth="1"/>
    <col min="7979" max="7981" width="4.5" style="30" customWidth="1"/>
    <col min="7982" max="7982" width="4" style="30" customWidth="1"/>
    <col min="7983" max="7983" width="3.75" style="30" customWidth="1"/>
    <col min="7984" max="7984" width="4.125" style="30" customWidth="1"/>
    <col min="7985" max="7985" width="3.75" style="30" customWidth="1"/>
    <col min="7986" max="7986" width="4.25" style="30" customWidth="1"/>
    <col min="7987" max="7987" width="4" style="30" customWidth="1"/>
    <col min="7988" max="7988" width="4.75" style="30" customWidth="1"/>
    <col min="7989" max="8191" width="9" style="30"/>
    <col min="8192" max="8192" width="5" style="30" customWidth="1"/>
    <col min="8193" max="8193" width="12.625" style="30" customWidth="1"/>
    <col min="8194" max="8194" width="12" style="30" customWidth="1"/>
    <col min="8195" max="8195" width="16.875" style="30" customWidth="1"/>
    <col min="8196" max="8197" width="4.125" style="30" customWidth="1"/>
    <col min="8198" max="8228" width="2.875" style="30" customWidth="1"/>
    <col min="8229" max="8230" width="4.125" style="30" customWidth="1"/>
    <col min="8231" max="8231" width="9.875" style="30" customWidth="1"/>
    <col min="8232" max="8232" width="9" style="30"/>
    <col min="8233" max="8233" width="13.75" style="30" customWidth="1"/>
    <col min="8234" max="8234" width="8.75" style="30" customWidth="1"/>
    <col min="8235" max="8237" width="4.5" style="30" customWidth="1"/>
    <col min="8238" max="8238" width="4" style="30" customWidth="1"/>
    <col min="8239" max="8239" width="3.75" style="30" customWidth="1"/>
    <col min="8240" max="8240" width="4.125" style="30" customWidth="1"/>
    <col min="8241" max="8241" width="3.75" style="30" customWidth="1"/>
    <col min="8242" max="8242" width="4.25" style="30" customWidth="1"/>
    <col min="8243" max="8243" width="4" style="30" customWidth="1"/>
    <col min="8244" max="8244" width="4.75" style="30" customWidth="1"/>
    <col min="8245" max="8447" width="9" style="30"/>
    <col min="8448" max="8448" width="5" style="30" customWidth="1"/>
    <col min="8449" max="8449" width="12.625" style="30" customWidth="1"/>
    <col min="8450" max="8450" width="12" style="30" customWidth="1"/>
    <col min="8451" max="8451" width="16.875" style="30" customWidth="1"/>
    <col min="8452" max="8453" width="4.125" style="30" customWidth="1"/>
    <col min="8454" max="8484" width="2.875" style="30" customWidth="1"/>
    <col min="8485" max="8486" width="4.125" style="30" customWidth="1"/>
    <col min="8487" max="8487" width="9.875" style="30" customWidth="1"/>
    <col min="8488" max="8488" width="9" style="30"/>
    <col min="8489" max="8489" width="13.75" style="30" customWidth="1"/>
    <col min="8490" max="8490" width="8.75" style="30" customWidth="1"/>
    <col min="8491" max="8493" width="4.5" style="30" customWidth="1"/>
    <col min="8494" max="8494" width="4" style="30" customWidth="1"/>
    <col min="8495" max="8495" width="3.75" style="30" customWidth="1"/>
    <col min="8496" max="8496" width="4.125" style="30" customWidth="1"/>
    <col min="8497" max="8497" width="3.75" style="30" customWidth="1"/>
    <col min="8498" max="8498" width="4.25" style="30" customWidth="1"/>
    <col min="8499" max="8499" width="4" style="30" customWidth="1"/>
    <col min="8500" max="8500" width="4.75" style="30" customWidth="1"/>
    <col min="8501" max="8703" width="9" style="30"/>
    <col min="8704" max="8704" width="5" style="30" customWidth="1"/>
    <col min="8705" max="8705" width="12.625" style="30" customWidth="1"/>
    <col min="8706" max="8706" width="12" style="30" customWidth="1"/>
    <col min="8707" max="8707" width="16.875" style="30" customWidth="1"/>
    <col min="8708" max="8709" width="4.125" style="30" customWidth="1"/>
    <col min="8710" max="8740" width="2.875" style="30" customWidth="1"/>
    <col min="8741" max="8742" width="4.125" style="30" customWidth="1"/>
    <col min="8743" max="8743" width="9.875" style="30" customWidth="1"/>
    <col min="8744" max="8744" width="9" style="30"/>
    <col min="8745" max="8745" width="13.75" style="30" customWidth="1"/>
    <col min="8746" max="8746" width="8.75" style="30" customWidth="1"/>
    <col min="8747" max="8749" width="4.5" style="30" customWidth="1"/>
    <col min="8750" max="8750" width="4" style="30" customWidth="1"/>
    <col min="8751" max="8751" width="3.75" style="30" customWidth="1"/>
    <col min="8752" max="8752" width="4.125" style="30" customWidth="1"/>
    <col min="8753" max="8753" width="3.75" style="30" customWidth="1"/>
    <col min="8754" max="8754" width="4.25" style="30" customWidth="1"/>
    <col min="8755" max="8755" width="4" style="30" customWidth="1"/>
    <col min="8756" max="8756" width="4.75" style="30" customWidth="1"/>
    <col min="8757" max="8959" width="9" style="30"/>
    <col min="8960" max="8960" width="5" style="30" customWidth="1"/>
    <col min="8961" max="8961" width="12.625" style="30" customWidth="1"/>
    <col min="8962" max="8962" width="12" style="30" customWidth="1"/>
    <col min="8963" max="8963" width="16.875" style="30" customWidth="1"/>
    <col min="8964" max="8965" width="4.125" style="30" customWidth="1"/>
    <col min="8966" max="8996" width="2.875" style="30" customWidth="1"/>
    <col min="8997" max="8998" width="4.125" style="30" customWidth="1"/>
    <col min="8999" max="8999" width="9.875" style="30" customWidth="1"/>
    <col min="9000" max="9000" width="9" style="30"/>
    <col min="9001" max="9001" width="13.75" style="30" customWidth="1"/>
    <col min="9002" max="9002" width="8.75" style="30" customWidth="1"/>
    <col min="9003" max="9005" width="4.5" style="30" customWidth="1"/>
    <col min="9006" max="9006" width="4" style="30" customWidth="1"/>
    <col min="9007" max="9007" width="3.75" style="30" customWidth="1"/>
    <col min="9008" max="9008" width="4.125" style="30" customWidth="1"/>
    <col min="9009" max="9009" width="3.75" style="30" customWidth="1"/>
    <col min="9010" max="9010" width="4.25" style="30" customWidth="1"/>
    <col min="9011" max="9011" width="4" style="30" customWidth="1"/>
    <col min="9012" max="9012" width="4.75" style="30" customWidth="1"/>
    <col min="9013" max="9215" width="9" style="30"/>
    <col min="9216" max="9216" width="5" style="30" customWidth="1"/>
    <col min="9217" max="9217" width="12.625" style="30" customWidth="1"/>
    <col min="9218" max="9218" width="12" style="30" customWidth="1"/>
    <col min="9219" max="9219" width="16.875" style="30" customWidth="1"/>
    <col min="9220" max="9221" width="4.125" style="30" customWidth="1"/>
    <col min="9222" max="9252" width="2.875" style="30" customWidth="1"/>
    <col min="9253" max="9254" width="4.125" style="30" customWidth="1"/>
    <col min="9255" max="9255" width="9.875" style="30" customWidth="1"/>
    <col min="9256" max="9256" width="9" style="30"/>
    <col min="9257" max="9257" width="13.75" style="30" customWidth="1"/>
    <col min="9258" max="9258" width="8.75" style="30" customWidth="1"/>
    <col min="9259" max="9261" width="4.5" style="30" customWidth="1"/>
    <col min="9262" max="9262" width="4" style="30" customWidth="1"/>
    <col min="9263" max="9263" width="3.75" style="30" customWidth="1"/>
    <col min="9264" max="9264" width="4.125" style="30" customWidth="1"/>
    <col min="9265" max="9265" width="3.75" style="30" customWidth="1"/>
    <col min="9266" max="9266" width="4.25" style="30" customWidth="1"/>
    <col min="9267" max="9267" width="4" style="30" customWidth="1"/>
    <col min="9268" max="9268" width="4.75" style="30" customWidth="1"/>
    <col min="9269" max="9471" width="9" style="30"/>
    <col min="9472" max="9472" width="5" style="30" customWidth="1"/>
    <col min="9473" max="9473" width="12.625" style="30" customWidth="1"/>
    <col min="9474" max="9474" width="12" style="30" customWidth="1"/>
    <col min="9475" max="9475" width="16.875" style="30" customWidth="1"/>
    <col min="9476" max="9477" width="4.125" style="30" customWidth="1"/>
    <col min="9478" max="9508" width="2.875" style="30" customWidth="1"/>
    <col min="9509" max="9510" width="4.125" style="30" customWidth="1"/>
    <col min="9511" max="9511" width="9.875" style="30" customWidth="1"/>
    <col min="9512" max="9512" width="9" style="30"/>
    <col min="9513" max="9513" width="13.75" style="30" customWidth="1"/>
    <col min="9514" max="9514" width="8.75" style="30" customWidth="1"/>
    <col min="9515" max="9517" width="4.5" style="30" customWidth="1"/>
    <col min="9518" max="9518" width="4" style="30" customWidth="1"/>
    <col min="9519" max="9519" width="3.75" style="30" customWidth="1"/>
    <col min="9520" max="9520" width="4.125" style="30" customWidth="1"/>
    <col min="9521" max="9521" width="3.75" style="30" customWidth="1"/>
    <col min="9522" max="9522" width="4.25" style="30" customWidth="1"/>
    <col min="9523" max="9523" width="4" style="30" customWidth="1"/>
    <col min="9524" max="9524" width="4.75" style="30" customWidth="1"/>
    <col min="9525" max="9727" width="9" style="30"/>
    <col min="9728" max="9728" width="5" style="30" customWidth="1"/>
    <col min="9729" max="9729" width="12.625" style="30" customWidth="1"/>
    <col min="9730" max="9730" width="12" style="30" customWidth="1"/>
    <col min="9731" max="9731" width="16.875" style="30" customWidth="1"/>
    <col min="9732" max="9733" width="4.125" style="30" customWidth="1"/>
    <col min="9734" max="9764" width="2.875" style="30" customWidth="1"/>
    <col min="9765" max="9766" width="4.125" style="30" customWidth="1"/>
    <col min="9767" max="9767" width="9.875" style="30" customWidth="1"/>
    <col min="9768" max="9768" width="9" style="30"/>
    <col min="9769" max="9769" width="13.75" style="30" customWidth="1"/>
    <col min="9770" max="9770" width="8.75" style="30" customWidth="1"/>
    <col min="9771" max="9773" width="4.5" style="30" customWidth="1"/>
    <col min="9774" max="9774" width="4" style="30" customWidth="1"/>
    <col min="9775" max="9775" width="3.75" style="30" customWidth="1"/>
    <col min="9776" max="9776" width="4.125" style="30" customWidth="1"/>
    <col min="9777" max="9777" width="3.75" style="30" customWidth="1"/>
    <col min="9778" max="9778" width="4.25" style="30" customWidth="1"/>
    <col min="9779" max="9779" width="4" style="30" customWidth="1"/>
    <col min="9780" max="9780" width="4.75" style="30" customWidth="1"/>
    <col min="9781" max="9983" width="9" style="30"/>
    <col min="9984" max="9984" width="5" style="30" customWidth="1"/>
    <col min="9985" max="9985" width="12.625" style="30" customWidth="1"/>
    <col min="9986" max="9986" width="12" style="30" customWidth="1"/>
    <col min="9987" max="9987" width="16.875" style="30" customWidth="1"/>
    <col min="9988" max="9989" width="4.125" style="30" customWidth="1"/>
    <col min="9990" max="10020" width="2.875" style="30" customWidth="1"/>
    <col min="10021" max="10022" width="4.125" style="30" customWidth="1"/>
    <col min="10023" max="10023" width="9.875" style="30" customWidth="1"/>
    <col min="10024" max="10024" width="9" style="30"/>
    <col min="10025" max="10025" width="13.75" style="30" customWidth="1"/>
    <col min="10026" max="10026" width="8.75" style="30" customWidth="1"/>
    <col min="10027" max="10029" width="4.5" style="30" customWidth="1"/>
    <col min="10030" max="10030" width="4" style="30" customWidth="1"/>
    <col min="10031" max="10031" width="3.75" style="30" customWidth="1"/>
    <col min="10032" max="10032" width="4.125" style="30" customWidth="1"/>
    <col min="10033" max="10033" width="3.75" style="30" customWidth="1"/>
    <col min="10034" max="10034" width="4.25" style="30" customWidth="1"/>
    <col min="10035" max="10035" width="4" style="30" customWidth="1"/>
    <col min="10036" max="10036" width="4.75" style="30" customWidth="1"/>
    <col min="10037" max="10239" width="9" style="30"/>
    <col min="10240" max="10240" width="5" style="30" customWidth="1"/>
    <col min="10241" max="10241" width="12.625" style="30" customWidth="1"/>
    <col min="10242" max="10242" width="12" style="30" customWidth="1"/>
    <col min="10243" max="10243" width="16.875" style="30" customWidth="1"/>
    <col min="10244" max="10245" width="4.125" style="30" customWidth="1"/>
    <col min="10246" max="10276" width="2.875" style="30" customWidth="1"/>
    <col min="10277" max="10278" width="4.125" style="30" customWidth="1"/>
    <col min="10279" max="10279" width="9.875" style="30" customWidth="1"/>
    <col min="10280" max="10280" width="9" style="30"/>
    <col min="10281" max="10281" width="13.75" style="30" customWidth="1"/>
    <col min="10282" max="10282" width="8.75" style="30" customWidth="1"/>
    <col min="10283" max="10285" width="4.5" style="30" customWidth="1"/>
    <col min="10286" max="10286" width="4" style="30" customWidth="1"/>
    <col min="10287" max="10287" width="3.75" style="30" customWidth="1"/>
    <col min="10288" max="10288" width="4.125" style="30" customWidth="1"/>
    <col min="10289" max="10289" width="3.75" style="30" customWidth="1"/>
    <col min="10290" max="10290" width="4.25" style="30" customWidth="1"/>
    <col min="10291" max="10291" width="4" style="30" customWidth="1"/>
    <col min="10292" max="10292" width="4.75" style="30" customWidth="1"/>
    <col min="10293" max="10495" width="9" style="30"/>
    <col min="10496" max="10496" width="5" style="30" customWidth="1"/>
    <col min="10497" max="10497" width="12.625" style="30" customWidth="1"/>
    <col min="10498" max="10498" width="12" style="30" customWidth="1"/>
    <col min="10499" max="10499" width="16.875" style="30" customWidth="1"/>
    <col min="10500" max="10501" width="4.125" style="30" customWidth="1"/>
    <col min="10502" max="10532" width="2.875" style="30" customWidth="1"/>
    <col min="10533" max="10534" width="4.125" style="30" customWidth="1"/>
    <col min="10535" max="10535" width="9.875" style="30" customWidth="1"/>
    <col min="10536" max="10536" width="9" style="30"/>
    <col min="10537" max="10537" width="13.75" style="30" customWidth="1"/>
    <col min="10538" max="10538" width="8.75" style="30" customWidth="1"/>
    <col min="10539" max="10541" width="4.5" style="30" customWidth="1"/>
    <col min="10542" max="10542" width="4" style="30" customWidth="1"/>
    <col min="10543" max="10543" width="3.75" style="30" customWidth="1"/>
    <col min="10544" max="10544" width="4.125" style="30" customWidth="1"/>
    <col min="10545" max="10545" width="3.75" style="30" customWidth="1"/>
    <col min="10546" max="10546" width="4.25" style="30" customWidth="1"/>
    <col min="10547" max="10547" width="4" style="30" customWidth="1"/>
    <col min="10548" max="10548" width="4.75" style="30" customWidth="1"/>
    <col min="10549" max="10751" width="9" style="30"/>
    <col min="10752" max="10752" width="5" style="30" customWidth="1"/>
    <col min="10753" max="10753" width="12.625" style="30" customWidth="1"/>
    <col min="10754" max="10754" width="12" style="30" customWidth="1"/>
    <col min="10755" max="10755" width="16.875" style="30" customWidth="1"/>
    <col min="10756" max="10757" width="4.125" style="30" customWidth="1"/>
    <col min="10758" max="10788" width="2.875" style="30" customWidth="1"/>
    <col min="10789" max="10790" width="4.125" style="30" customWidth="1"/>
    <col min="10791" max="10791" width="9.875" style="30" customWidth="1"/>
    <col min="10792" max="10792" width="9" style="30"/>
    <col min="10793" max="10793" width="13.75" style="30" customWidth="1"/>
    <col min="10794" max="10794" width="8.75" style="30" customWidth="1"/>
    <col min="10795" max="10797" width="4.5" style="30" customWidth="1"/>
    <col min="10798" max="10798" width="4" style="30" customWidth="1"/>
    <col min="10799" max="10799" width="3.75" style="30" customWidth="1"/>
    <col min="10800" max="10800" width="4.125" style="30" customWidth="1"/>
    <col min="10801" max="10801" width="3.75" style="30" customWidth="1"/>
    <col min="10802" max="10802" width="4.25" style="30" customWidth="1"/>
    <col min="10803" max="10803" width="4" style="30" customWidth="1"/>
    <col min="10804" max="10804" width="4.75" style="30" customWidth="1"/>
    <col min="10805" max="11007" width="9" style="30"/>
    <col min="11008" max="11008" width="5" style="30" customWidth="1"/>
    <col min="11009" max="11009" width="12.625" style="30" customWidth="1"/>
    <col min="11010" max="11010" width="12" style="30" customWidth="1"/>
    <col min="11011" max="11011" width="16.875" style="30" customWidth="1"/>
    <col min="11012" max="11013" width="4.125" style="30" customWidth="1"/>
    <col min="11014" max="11044" width="2.875" style="30" customWidth="1"/>
    <col min="11045" max="11046" width="4.125" style="30" customWidth="1"/>
    <col min="11047" max="11047" width="9.875" style="30" customWidth="1"/>
    <col min="11048" max="11048" width="9" style="30"/>
    <col min="11049" max="11049" width="13.75" style="30" customWidth="1"/>
    <col min="11050" max="11050" width="8.75" style="30" customWidth="1"/>
    <col min="11051" max="11053" width="4.5" style="30" customWidth="1"/>
    <col min="11054" max="11054" width="4" style="30" customWidth="1"/>
    <col min="11055" max="11055" width="3.75" style="30" customWidth="1"/>
    <col min="11056" max="11056" width="4.125" style="30" customWidth="1"/>
    <col min="11057" max="11057" width="3.75" style="30" customWidth="1"/>
    <col min="11058" max="11058" width="4.25" style="30" customWidth="1"/>
    <col min="11059" max="11059" width="4" style="30" customWidth="1"/>
    <col min="11060" max="11060" width="4.75" style="30" customWidth="1"/>
    <col min="11061" max="11263" width="9" style="30"/>
    <col min="11264" max="11264" width="5" style="30" customWidth="1"/>
    <col min="11265" max="11265" width="12.625" style="30" customWidth="1"/>
    <col min="11266" max="11266" width="12" style="30" customWidth="1"/>
    <col min="11267" max="11267" width="16.875" style="30" customWidth="1"/>
    <col min="11268" max="11269" width="4.125" style="30" customWidth="1"/>
    <col min="11270" max="11300" width="2.875" style="30" customWidth="1"/>
    <col min="11301" max="11302" width="4.125" style="30" customWidth="1"/>
    <col min="11303" max="11303" width="9.875" style="30" customWidth="1"/>
    <col min="11304" max="11304" width="9" style="30"/>
    <col min="11305" max="11305" width="13.75" style="30" customWidth="1"/>
    <col min="11306" max="11306" width="8.75" style="30" customWidth="1"/>
    <col min="11307" max="11309" width="4.5" style="30" customWidth="1"/>
    <col min="11310" max="11310" width="4" style="30" customWidth="1"/>
    <col min="11311" max="11311" width="3.75" style="30" customWidth="1"/>
    <col min="11312" max="11312" width="4.125" style="30" customWidth="1"/>
    <col min="11313" max="11313" width="3.75" style="30" customWidth="1"/>
    <col min="11314" max="11314" width="4.25" style="30" customWidth="1"/>
    <col min="11315" max="11315" width="4" style="30" customWidth="1"/>
    <col min="11316" max="11316" width="4.75" style="30" customWidth="1"/>
    <col min="11317" max="11519" width="9" style="30"/>
    <col min="11520" max="11520" width="5" style="30" customWidth="1"/>
    <col min="11521" max="11521" width="12.625" style="30" customWidth="1"/>
    <col min="11522" max="11522" width="12" style="30" customWidth="1"/>
    <col min="11523" max="11523" width="16.875" style="30" customWidth="1"/>
    <col min="11524" max="11525" width="4.125" style="30" customWidth="1"/>
    <col min="11526" max="11556" width="2.875" style="30" customWidth="1"/>
    <col min="11557" max="11558" width="4.125" style="30" customWidth="1"/>
    <col min="11559" max="11559" width="9.875" style="30" customWidth="1"/>
    <col min="11560" max="11560" width="9" style="30"/>
    <col min="11561" max="11561" width="13.75" style="30" customWidth="1"/>
    <col min="11562" max="11562" width="8.75" style="30" customWidth="1"/>
    <col min="11563" max="11565" width="4.5" style="30" customWidth="1"/>
    <col min="11566" max="11566" width="4" style="30" customWidth="1"/>
    <col min="11567" max="11567" width="3.75" style="30" customWidth="1"/>
    <col min="11568" max="11568" width="4.125" style="30" customWidth="1"/>
    <col min="11569" max="11569" width="3.75" style="30" customWidth="1"/>
    <col min="11570" max="11570" width="4.25" style="30" customWidth="1"/>
    <col min="11571" max="11571" width="4" style="30" customWidth="1"/>
    <col min="11572" max="11572" width="4.75" style="30" customWidth="1"/>
    <col min="11573" max="11775" width="9" style="30"/>
    <col min="11776" max="11776" width="5" style="30" customWidth="1"/>
    <col min="11777" max="11777" width="12.625" style="30" customWidth="1"/>
    <col min="11778" max="11778" width="12" style="30" customWidth="1"/>
    <col min="11779" max="11779" width="16.875" style="30" customWidth="1"/>
    <col min="11780" max="11781" width="4.125" style="30" customWidth="1"/>
    <col min="11782" max="11812" width="2.875" style="30" customWidth="1"/>
    <col min="11813" max="11814" width="4.125" style="30" customWidth="1"/>
    <col min="11815" max="11815" width="9.875" style="30" customWidth="1"/>
    <col min="11816" max="11816" width="9" style="30"/>
    <col min="11817" max="11817" width="13.75" style="30" customWidth="1"/>
    <col min="11818" max="11818" width="8.75" style="30" customWidth="1"/>
    <col min="11819" max="11821" width="4.5" style="30" customWidth="1"/>
    <col min="11822" max="11822" width="4" style="30" customWidth="1"/>
    <col min="11823" max="11823" width="3.75" style="30" customWidth="1"/>
    <col min="11824" max="11824" width="4.125" style="30" customWidth="1"/>
    <col min="11825" max="11825" width="3.75" style="30" customWidth="1"/>
    <col min="11826" max="11826" width="4.25" style="30" customWidth="1"/>
    <col min="11827" max="11827" width="4" style="30" customWidth="1"/>
    <col min="11828" max="11828" width="4.75" style="30" customWidth="1"/>
    <col min="11829" max="12031" width="9" style="30"/>
    <col min="12032" max="12032" width="5" style="30" customWidth="1"/>
    <col min="12033" max="12033" width="12.625" style="30" customWidth="1"/>
    <col min="12034" max="12034" width="12" style="30" customWidth="1"/>
    <col min="12035" max="12035" width="16.875" style="30" customWidth="1"/>
    <col min="12036" max="12037" width="4.125" style="30" customWidth="1"/>
    <col min="12038" max="12068" width="2.875" style="30" customWidth="1"/>
    <col min="12069" max="12070" width="4.125" style="30" customWidth="1"/>
    <col min="12071" max="12071" width="9.875" style="30" customWidth="1"/>
    <col min="12072" max="12072" width="9" style="30"/>
    <col min="12073" max="12073" width="13.75" style="30" customWidth="1"/>
    <col min="12074" max="12074" width="8.75" style="30" customWidth="1"/>
    <col min="12075" max="12077" width="4.5" style="30" customWidth="1"/>
    <col min="12078" max="12078" width="4" style="30" customWidth="1"/>
    <col min="12079" max="12079" width="3.75" style="30" customWidth="1"/>
    <col min="12080" max="12080" width="4.125" style="30" customWidth="1"/>
    <col min="12081" max="12081" width="3.75" style="30" customWidth="1"/>
    <col min="12082" max="12082" width="4.25" style="30" customWidth="1"/>
    <col min="12083" max="12083" width="4" style="30" customWidth="1"/>
    <col min="12084" max="12084" width="4.75" style="30" customWidth="1"/>
    <col min="12085" max="12287" width="9" style="30"/>
    <col min="12288" max="12288" width="5" style="30" customWidth="1"/>
    <col min="12289" max="12289" width="12.625" style="30" customWidth="1"/>
    <col min="12290" max="12290" width="12" style="30" customWidth="1"/>
    <col min="12291" max="12291" width="16.875" style="30" customWidth="1"/>
    <col min="12292" max="12293" width="4.125" style="30" customWidth="1"/>
    <col min="12294" max="12324" width="2.875" style="30" customWidth="1"/>
    <col min="12325" max="12326" width="4.125" style="30" customWidth="1"/>
    <col min="12327" max="12327" width="9.875" style="30" customWidth="1"/>
    <col min="12328" max="12328" width="9" style="30"/>
    <col min="12329" max="12329" width="13.75" style="30" customWidth="1"/>
    <col min="12330" max="12330" width="8.75" style="30" customWidth="1"/>
    <col min="12331" max="12333" width="4.5" style="30" customWidth="1"/>
    <col min="12334" max="12334" width="4" style="30" customWidth="1"/>
    <col min="12335" max="12335" width="3.75" style="30" customWidth="1"/>
    <col min="12336" max="12336" width="4.125" style="30" customWidth="1"/>
    <col min="12337" max="12337" width="3.75" style="30" customWidth="1"/>
    <col min="12338" max="12338" width="4.25" style="30" customWidth="1"/>
    <col min="12339" max="12339" width="4" style="30" customWidth="1"/>
    <col min="12340" max="12340" width="4.75" style="30" customWidth="1"/>
    <col min="12341" max="12543" width="9" style="30"/>
    <col min="12544" max="12544" width="5" style="30" customWidth="1"/>
    <col min="12545" max="12545" width="12.625" style="30" customWidth="1"/>
    <col min="12546" max="12546" width="12" style="30" customWidth="1"/>
    <col min="12547" max="12547" width="16.875" style="30" customWidth="1"/>
    <col min="12548" max="12549" width="4.125" style="30" customWidth="1"/>
    <col min="12550" max="12580" width="2.875" style="30" customWidth="1"/>
    <col min="12581" max="12582" width="4.125" style="30" customWidth="1"/>
    <col min="12583" max="12583" width="9.875" style="30" customWidth="1"/>
    <col min="12584" max="12584" width="9" style="30"/>
    <col min="12585" max="12585" width="13.75" style="30" customWidth="1"/>
    <col min="12586" max="12586" width="8.75" style="30" customWidth="1"/>
    <col min="12587" max="12589" width="4.5" style="30" customWidth="1"/>
    <col min="12590" max="12590" width="4" style="30" customWidth="1"/>
    <col min="12591" max="12591" width="3.75" style="30" customWidth="1"/>
    <col min="12592" max="12592" width="4.125" style="30" customWidth="1"/>
    <col min="12593" max="12593" width="3.75" style="30" customWidth="1"/>
    <col min="12594" max="12594" width="4.25" style="30" customWidth="1"/>
    <col min="12595" max="12595" width="4" style="30" customWidth="1"/>
    <col min="12596" max="12596" width="4.75" style="30" customWidth="1"/>
    <col min="12597" max="12799" width="9" style="30"/>
    <col min="12800" max="12800" width="5" style="30" customWidth="1"/>
    <col min="12801" max="12801" width="12.625" style="30" customWidth="1"/>
    <col min="12802" max="12802" width="12" style="30" customWidth="1"/>
    <col min="12803" max="12803" width="16.875" style="30" customWidth="1"/>
    <col min="12804" max="12805" width="4.125" style="30" customWidth="1"/>
    <col min="12806" max="12836" width="2.875" style="30" customWidth="1"/>
    <col min="12837" max="12838" width="4.125" style="30" customWidth="1"/>
    <col min="12839" max="12839" width="9.875" style="30" customWidth="1"/>
    <col min="12840" max="12840" width="9" style="30"/>
    <col min="12841" max="12841" width="13.75" style="30" customWidth="1"/>
    <col min="12842" max="12842" width="8.75" style="30" customWidth="1"/>
    <col min="12843" max="12845" width="4.5" style="30" customWidth="1"/>
    <col min="12846" max="12846" width="4" style="30" customWidth="1"/>
    <col min="12847" max="12847" width="3.75" style="30" customWidth="1"/>
    <col min="12848" max="12848" width="4.125" style="30" customWidth="1"/>
    <col min="12849" max="12849" width="3.75" style="30" customWidth="1"/>
    <col min="12850" max="12850" width="4.25" style="30" customWidth="1"/>
    <col min="12851" max="12851" width="4" style="30" customWidth="1"/>
    <col min="12852" max="12852" width="4.75" style="30" customWidth="1"/>
    <col min="12853" max="13055" width="9" style="30"/>
    <col min="13056" max="13056" width="5" style="30" customWidth="1"/>
    <col min="13057" max="13057" width="12.625" style="30" customWidth="1"/>
    <col min="13058" max="13058" width="12" style="30" customWidth="1"/>
    <col min="13059" max="13059" width="16.875" style="30" customWidth="1"/>
    <col min="13060" max="13061" width="4.125" style="30" customWidth="1"/>
    <col min="13062" max="13092" width="2.875" style="30" customWidth="1"/>
    <col min="13093" max="13094" width="4.125" style="30" customWidth="1"/>
    <col min="13095" max="13095" width="9.875" style="30" customWidth="1"/>
    <col min="13096" max="13096" width="9" style="30"/>
    <col min="13097" max="13097" width="13.75" style="30" customWidth="1"/>
    <col min="13098" max="13098" width="8.75" style="30" customWidth="1"/>
    <col min="13099" max="13101" width="4.5" style="30" customWidth="1"/>
    <col min="13102" max="13102" width="4" style="30" customWidth="1"/>
    <col min="13103" max="13103" width="3.75" style="30" customWidth="1"/>
    <col min="13104" max="13104" width="4.125" style="30" customWidth="1"/>
    <col min="13105" max="13105" width="3.75" style="30" customWidth="1"/>
    <col min="13106" max="13106" width="4.25" style="30" customWidth="1"/>
    <col min="13107" max="13107" width="4" style="30" customWidth="1"/>
    <col min="13108" max="13108" width="4.75" style="30" customWidth="1"/>
    <col min="13109" max="13311" width="9" style="30"/>
    <col min="13312" max="13312" width="5" style="30" customWidth="1"/>
    <col min="13313" max="13313" width="12.625" style="30" customWidth="1"/>
    <col min="13314" max="13314" width="12" style="30" customWidth="1"/>
    <col min="13315" max="13315" width="16.875" style="30" customWidth="1"/>
    <col min="13316" max="13317" width="4.125" style="30" customWidth="1"/>
    <col min="13318" max="13348" width="2.875" style="30" customWidth="1"/>
    <col min="13349" max="13350" width="4.125" style="30" customWidth="1"/>
    <col min="13351" max="13351" width="9.875" style="30" customWidth="1"/>
    <col min="13352" max="13352" width="9" style="30"/>
    <col min="13353" max="13353" width="13.75" style="30" customWidth="1"/>
    <col min="13354" max="13354" width="8.75" style="30" customWidth="1"/>
    <col min="13355" max="13357" width="4.5" style="30" customWidth="1"/>
    <col min="13358" max="13358" width="4" style="30" customWidth="1"/>
    <col min="13359" max="13359" width="3.75" style="30" customWidth="1"/>
    <col min="13360" max="13360" width="4.125" style="30" customWidth="1"/>
    <col min="13361" max="13361" width="3.75" style="30" customWidth="1"/>
    <col min="13362" max="13362" width="4.25" style="30" customWidth="1"/>
    <col min="13363" max="13363" width="4" style="30" customWidth="1"/>
    <col min="13364" max="13364" width="4.75" style="30" customWidth="1"/>
    <col min="13365" max="13567" width="9" style="30"/>
    <col min="13568" max="13568" width="5" style="30" customWidth="1"/>
    <col min="13569" max="13569" width="12.625" style="30" customWidth="1"/>
    <col min="13570" max="13570" width="12" style="30" customWidth="1"/>
    <col min="13571" max="13571" width="16.875" style="30" customWidth="1"/>
    <col min="13572" max="13573" width="4.125" style="30" customWidth="1"/>
    <col min="13574" max="13604" width="2.875" style="30" customWidth="1"/>
    <col min="13605" max="13606" width="4.125" style="30" customWidth="1"/>
    <col min="13607" max="13607" width="9.875" style="30" customWidth="1"/>
    <col min="13608" max="13608" width="9" style="30"/>
    <col min="13609" max="13609" width="13.75" style="30" customWidth="1"/>
    <col min="13610" max="13610" width="8.75" style="30" customWidth="1"/>
    <col min="13611" max="13613" width="4.5" style="30" customWidth="1"/>
    <col min="13614" max="13614" width="4" style="30" customWidth="1"/>
    <col min="13615" max="13615" width="3.75" style="30" customWidth="1"/>
    <col min="13616" max="13616" width="4.125" style="30" customWidth="1"/>
    <col min="13617" max="13617" width="3.75" style="30" customWidth="1"/>
    <col min="13618" max="13618" width="4.25" style="30" customWidth="1"/>
    <col min="13619" max="13619" width="4" style="30" customWidth="1"/>
    <col min="13620" max="13620" width="4.75" style="30" customWidth="1"/>
    <col min="13621" max="13823" width="9" style="30"/>
    <col min="13824" max="13824" width="5" style="30" customWidth="1"/>
    <col min="13825" max="13825" width="12.625" style="30" customWidth="1"/>
    <col min="13826" max="13826" width="12" style="30" customWidth="1"/>
    <col min="13827" max="13827" width="16.875" style="30" customWidth="1"/>
    <col min="13828" max="13829" width="4.125" style="30" customWidth="1"/>
    <col min="13830" max="13860" width="2.875" style="30" customWidth="1"/>
    <col min="13861" max="13862" width="4.125" style="30" customWidth="1"/>
    <col min="13863" max="13863" width="9.875" style="30" customWidth="1"/>
    <col min="13864" max="13864" width="9" style="30"/>
    <col min="13865" max="13865" width="13.75" style="30" customWidth="1"/>
    <col min="13866" max="13866" width="8.75" style="30" customWidth="1"/>
    <col min="13867" max="13869" width="4.5" style="30" customWidth="1"/>
    <col min="13870" max="13870" width="4" style="30" customWidth="1"/>
    <col min="13871" max="13871" width="3.75" style="30" customWidth="1"/>
    <col min="13872" max="13872" width="4.125" style="30" customWidth="1"/>
    <col min="13873" max="13873" width="3.75" style="30" customWidth="1"/>
    <col min="13874" max="13874" width="4.25" style="30" customWidth="1"/>
    <col min="13875" max="13875" width="4" style="30" customWidth="1"/>
    <col min="13876" max="13876" width="4.75" style="30" customWidth="1"/>
    <col min="13877" max="14079" width="9" style="30"/>
    <col min="14080" max="14080" width="5" style="30" customWidth="1"/>
    <col min="14081" max="14081" width="12.625" style="30" customWidth="1"/>
    <col min="14082" max="14082" width="12" style="30" customWidth="1"/>
    <col min="14083" max="14083" width="16.875" style="30" customWidth="1"/>
    <col min="14084" max="14085" width="4.125" style="30" customWidth="1"/>
    <col min="14086" max="14116" width="2.875" style="30" customWidth="1"/>
    <col min="14117" max="14118" width="4.125" style="30" customWidth="1"/>
    <col min="14119" max="14119" width="9.875" style="30" customWidth="1"/>
    <col min="14120" max="14120" width="9" style="30"/>
    <col min="14121" max="14121" width="13.75" style="30" customWidth="1"/>
    <col min="14122" max="14122" width="8.75" style="30" customWidth="1"/>
    <col min="14123" max="14125" width="4.5" style="30" customWidth="1"/>
    <col min="14126" max="14126" width="4" style="30" customWidth="1"/>
    <col min="14127" max="14127" width="3.75" style="30" customWidth="1"/>
    <col min="14128" max="14128" width="4.125" style="30" customWidth="1"/>
    <col min="14129" max="14129" width="3.75" style="30" customWidth="1"/>
    <col min="14130" max="14130" width="4.25" style="30" customWidth="1"/>
    <col min="14131" max="14131" width="4" style="30" customWidth="1"/>
    <col min="14132" max="14132" width="4.75" style="30" customWidth="1"/>
    <col min="14133" max="14335" width="9" style="30"/>
    <col min="14336" max="14336" width="5" style="30" customWidth="1"/>
    <col min="14337" max="14337" width="12.625" style="30" customWidth="1"/>
    <col min="14338" max="14338" width="12" style="30" customWidth="1"/>
    <col min="14339" max="14339" width="16.875" style="30" customWidth="1"/>
    <col min="14340" max="14341" width="4.125" style="30" customWidth="1"/>
    <col min="14342" max="14372" width="2.875" style="30" customWidth="1"/>
    <col min="14373" max="14374" width="4.125" style="30" customWidth="1"/>
    <col min="14375" max="14375" width="9.875" style="30" customWidth="1"/>
    <col min="14376" max="14376" width="9" style="30"/>
    <col min="14377" max="14377" width="13.75" style="30" customWidth="1"/>
    <col min="14378" max="14378" width="8.75" style="30" customWidth="1"/>
    <col min="14379" max="14381" width="4.5" style="30" customWidth="1"/>
    <col min="14382" max="14382" width="4" style="30" customWidth="1"/>
    <col min="14383" max="14383" width="3.75" style="30" customWidth="1"/>
    <col min="14384" max="14384" width="4.125" style="30" customWidth="1"/>
    <col min="14385" max="14385" width="3.75" style="30" customWidth="1"/>
    <col min="14386" max="14386" width="4.25" style="30" customWidth="1"/>
    <col min="14387" max="14387" width="4" style="30" customWidth="1"/>
    <col min="14388" max="14388" width="4.75" style="30" customWidth="1"/>
    <col min="14389" max="14591" width="9" style="30"/>
    <col min="14592" max="14592" width="5" style="30" customWidth="1"/>
    <col min="14593" max="14593" width="12.625" style="30" customWidth="1"/>
    <col min="14594" max="14594" width="12" style="30" customWidth="1"/>
    <col min="14595" max="14595" width="16.875" style="30" customWidth="1"/>
    <col min="14596" max="14597" width="4.125" style="30" customWidth="1"/>
    <col min="14598" max="14628" width="2.875" style="30" customWidth="1"/>
    <col min="14629" max="14630" width="4.125" style="30" customWidth="1"/>
    <col min="14631" max="14631" width="9.875" style="30" customWidth="1"/>
    <col min="14632" max="14632" width="9" style="30"/>
    <col min="14633" max="14633" width="13.75" style="30" customWidth="1"/>
    <col min="14634" max="14634" width="8.75" style="30" customWidth="1"/>
    <col min="14635" max="14637" width="4.5" style="30" customWidth="1"/>
    <col min="14638" max="14638" width="4" style="30" customWidth="1"/>
    <col min="14639" max="14639" width="3.75" style="30" customWidth="1"/>
    <col min="14640" max="14640" width="4.125" style="30" customWidth="1"/>
    <col min="14641" max="14641" width="3.75" style="30" customWidth="1"/>
    <col min="14642" max="14642" width="4.25" style="30" customWidth="1"/>
    <col min="14643" max="14643" width="4" style="30" customWidth="1"/>
    <col min="14644" max="14644" width="4.75" style="30" customWidth="1"/>
    <col min="14645" max="14847" width="9" style="30"/>
    <col min="14848" max="14848" width="5" style="30" customWidth="1"/>
    <col min="14849" max="14849" width="12.625" style="30" customWidth="1"/>
    <col min="14850" max="14850" width="12" style="30" customWidth="1"/>
    <col min="14851" max="14851" width="16.875" style="30" customWidth="1"/>
    <col min="14852" max="14853" width="4.125" style="30" customWidth="1"/>
    <col min="14854" max="14884" width="2.875" style="30" customWidth="1"/>
    <col min="14885" max="14886" width="4.125" style="30" customWidth="1"/>
    <col min="14887" max="14887" width="9.875" style="30" customWidth="1"/>
    <col min="14888" max="14888" width="9" style="30"/>
    <col min="14889" max="14889" width="13.75" style="30" customWidth="1"/>
    <col min="14890" max="14890" width="8.75" style="30" customWidth="1"/>
    <col min="14891" max="14893" width="4.5" style="30" customWidth="1"/>
    <col min="14894" max="14894" width="4" style="30" customWidth="1"/>
    <col min="14895" max="14895" width="3.75" style="30" customWidth="1"/>
    <col min="14896" max="14896" width="4.125" style="30" customWidth="1"/>
    <col min="14897" max="14897" width="3.75" style="30" customWidth="1"/>
    <col min="14898" max="14898" width="4.25" style="30" customWidth="1"/>
    <col min="14899" max="14899" width="4" style="30" customWidth="1"/>
    <col min="14900" max="14900" width="4.75" style="30" customWidth="1"/>
    <col min="14901" max="15103" width="9" style="30"/>
    <col min="15104" max="15104" width="5" style="30" customWidth="1"/>
    <col min="15105" max="15105" width="12.625" style="30" customWidth="1"/>
    <col min="15106" max="15106" width="12" style="30" customWidth="1"/>
    <col min="15107" max="15107" width="16.875" style="30" customWidth="1"/>
    <col min="15108" max="15109" width="4.125" style="30" customWidth="1"/>
    <col min="15110" max="15140" width="2.875" style="30" customWidth="1"/>
    <col min="15141" max="15142" width="4.125" style="30" customWidth="1"/>
    <col min="15143" max="15143" width="9.875" style="30" customWidth="1"/>
    <col min="15144" max="15144" width="9" style="30"/>
    <col min="15145" max="15145" width="13.75" style="30" customWidth="1"/>
    <col min="15146" max="15146" width="8.75" style="30" customWidth="1"/>
    <col min="15147" max="15149" width="4.5" style="30" customWidth="1"/>
    <col min="15150" max="15150" width="4" style="30" customWidth="1"/>
    <col min="15151" max="15151" width="3.75" style="30" customWidth="1"/>
    <col min="15152" max="15152" width="4.125" style="30" customWidth="1"/>
    <col min="15153" max="15153" width="3.75" style="30" customWidth="1"/>
    <col min="15154" max="15154" width="4.25" style="30" customWidth="1"/>
    <col min="15155" max="15155" width="4" style="30" customWidth="1"/>
    <col min="15156" max="15156" width="4.75" style="30" customWidth="1"/>
    <col min="15157" max="15359" width="9" style="30"/>
    <col min="15360" max="15360" width="5" style="30" customWidth="1"/>
    <col min="15361" max="15361" width="12.625" style="30" customWidth="1"/>
    <col min="15362" max="15362" width="12" style="30" customWidth="1"/>
    <col min="15363" max="15363" width="16.875" style="30" customWidth="1"/>
    <col min="15364" max="15365" width="4.125" style="30" customWidth="1"/>
    <col min="15366" max="15396" width="2.875" style="30" customWidth="1"/>
    <col min="15397" max="15398" width="4.125" style="30" customWidth="1"/>
    <col min="15399" max="15399" width="9.875" style="30" customWidth="1"/>
    <col min="15400" max="15400" width="9" style="30"/>
    <col min="15401" max="15401" width="13.75" style="30" customWidth="1"/>
    <col min="15402" max="15402" width="8.75" style="30" customWidth="1"/>
    <col min="15403" max="15405" width="4.5" style="30" customWidth="1"/>
    <col min="15406" max="15406" width="4" style="30" customWidth="1"/>
    <col min="15407" max="15407" width="3.75" style="30" customWidth="1"/>
    <col min="15408" max="15408" width="4.125" style="30" customWidth="1"/>
    <col min="15409" max="15409" width="3.75" style="30" customWidth="1"/>
    <col min="15410" max="15410" width="4.25" style="30" customWidth="1"/>
    <col min="15411" max="15411" width="4" style="30" customWidth="1"/>
    <col min="15412" max="15412" width="4.75" style="30" customWidth="1"/>
    <col min="15413" max="15615" width="9" style="30"/>
    <col min="15616" max="15616" width="5" style="30" customWidth="1"/>
    <col min="15617" max="15617" width="12.625" style="30" customWidth="1"/>
    <col min="15618" max="15618" width="12" style="30" customWidth="1"/>
    <col min="15619" max="15619" width="16.875" style="30" customWidth="1"/>
    <col min="15620" max="15621" width="4.125" style="30" customWidth="1"/>
    <col min="15622" max="15652" width="2.875" style="30" customWidth="1"/>
    <col min="15653" max="15654" width="4.125" style="30" customWidth="1"/>
    <col min="15655" max="15655" width="9.875" style="30" customWidth="1"/>
    <col min="15656" max="15656" width="9" style="30"/>
    <col min="15657" max="15657" width="13.75" style="30" customWidth="1"/>
    <col min="15658" max="15658" width="8.75" style="30" customWidth="1"/>
    <col min="15659" max="15661" width="4.5" style="30" customWidth="1"/>
    <col min="15662" max="15662" width="4" style="30" customWidth="1"/>
    <col min="15663" max="15663" width="3.75" style="30" customWidth="1"/>
    <col min="15664" max="15664" width="4.125" style="30" customWidth="1"/>
    <col min="15665" max="15665" width="3.75" style="30" customWidth="1"/>
    <col min="15666" max="15666" width="4.25" style="30" customWidth="1"/>
    <col min="15667" max="15667" width="4" style="30" customWidth="1"/>
    <col min="15668" max="15668" width="4.75" style="30" customWidth="1"/>
    <col min="15669" max="15871" width="9" style="30"/>
    <col min="15872" max="15872" width="5" style="30" customWidth="1"/>
    <col min="15873" max="15873" width="12.625" style="30" customWidth="1"/>
    <col min="15874" max="15874" width="12" style="30" customWidth="1"/>
    <col min="15875" max="15875" width="16.875" style="30" customWidth="1"/>
    <col min="15876" max="15877" width="4.125" style="30" customWidth="1"/>
    <col min="15878" max="15908" width="2.875" style="30" customWidth="1"/>
    <col min="15909" max="15910" width="4.125" style="30" customWidth="1"/>
    <col min="15911" max="15911" width="9.875" style="30" customWidth="1"/>
    <col min="15912" max="15912" width="9" style="30"/>
    <col min="15913" max="15913" width="13.75" style="30" customWidth="1"/>
    <col min="15914" max="15914" width="8.75" style="30" customWidth="1"/>
    <col min="15915" max="15917" width="4.5" style="30" customWidth="1"/>
    <col min="15918" max="15918" width="4" style="30" customWidth="1"/>
    <col min="15919" max="15919" width="3.75" style="30" customWidth="1"/>
    <col min="15920" max="15920" width="4.125" style="30" customWidth="1"/>
    <col min="15921" max="15921" width="3.75" style="30" customWidth="1"/>
    <col min="15922" max="15922" width="4.25" style="30" customWidth="1"/>
    <col min="15923" max="15923" width="4" style="30" customWidth="1"/>
    <col min="15924" max="15924" width="4.75" style="30" customWidth="1"/>
    <col min="15925" max="16127" width="9" style="30"/>
    <col min="16128" max="16128" width="5" style="30" customWidth="1"/>
    <col min="16129" max="16129" width="12.625" style="30" customWidth="1"/>
    <col min="16130" max="16130" width="12" style="30" customWidth="1"/>
    <col min="16131" max="16131" width="16.875" style="30" customWidth="1"/>
    <col min="16132" max="16133" width="4.125" style="30" customWidth="1"/>
    <col min="16134" max="16164" width="2.875" style="30" customWidth="1"/>
    <col min="16165" max="16166" width="4.125" style="30" customWidth="1"/>
    <col min="16167" max="16167" width="9.875" style="30" customWidth="1"/>
    <col min="16168" max="16168" width="9" style="30"/>
    <col min="16169" max="16169" width="13.75" style="30" customWidth="1"/>
    <col min="16170" max="16170" width="8.75" style="30" customWidth="1"/>
    <col min="16171" max="16173" width="4.5" style="30" customWidth="1"/>
    <col min="16174" max="16174" width="4" style="30" customWidth="1"/>
    <col min="16175" max="16175" width="3.75" style="30" customWidth="1"/>
    <col min="16176" max="16176" width="4.125" style="30" customWidth="1"/>
    <col min="16177" max="16177" width="3.75" style="30" customWidth="1"/>
    <col min="16178" max="16178" width="4.25" style="30" customWidth="1"/>
    <col min="16179" max="16179" width="4" style="30" customWidth="1"/>
    <col min="16180" max="16180" width="4.75" style="30" customWidth="1"/>
    <col min="16181" max="16384" width="9" style="30"/>
  </cols>
  <sheetData>
    <row r="1" spans="1:52" ht="30" customHeight="1" x14ac:dyDescent="0.45">
      <c r="A1" s="254" t="s">
        <v>97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W1" s="255" t="s">
        <v>33</v>
      </c>
      <c r="AX1" s="255"/>
      <c r="AY1" s="255"/>
      <c r="AZ1" s="255"/>
    </row>
    <row r="2" spans="1:52" s="31" customFormat="1" ht="20.45" customHeight="1" x14ac:dyDescent="0.5">
      <c r="A2" s="248" t="s">
        <v>120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Q2" s="30"/>
      <c r="AR2" s="30"/>
      <c r="AS2" s="30"/>
      <c r="AT2" s="30"/>
      <c r="AU2" s="30"/>
      <c r="AV2" s="30" t="s">
        <v>34</v>
      </c>
      <c r="AW2" s="32" t="s">
        <v>35</v>
      </c>
      <c r="AX2" s="32" t="s">
        <v>16</v>
      </c>
      <c r="AY2" s="32" t="s">
        <v>36</v>
      </c>
      <c r="AZ2" s="32" t="s">
        <v>14</v>
      </c>
    </row>
    <row r="3" spans="1:52" ht="20.45" customHeight="1" x14ac:dyDescent="0.45">
      <c r="A3" s="256" t="s">
        <v>37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W3" s="33">
        <f>AW14</f>
        <v>3</v>
      </c>
      <c r="AX3" s="33">
        <f>AX14</f>
        <v>2</v>
      </c>
      <c r="AY3" s="33">
        <f>AY14</f>
        <v>5</v>
      </c>
      <c r="AZ3" s="33">
        <f>AZ14</f>
        <v>0</v>
      </c>
    </row>
    <row r="4" spans="1:52" s="35" customFormat="1" ht="20.45" customHeight="1" x14ac:dyDescent="0.2">
      <c r="A4" s="222" t="s">
        <v>38</v>
      </c>
      <c r="B4" s="236" t="s">
        <v>39</v>
      </c>
      <c r="C4" s="237"/>
      <c r="D4" s="169" t="s">
        <v>2</v>
      </c>
      <c r="E4" s="281" t="s">
        <v>40</v>
      </c>
      <c r="F4" s="282"/>
      <c r="G4" s="257" t="s">
        <v>41</v>
      </c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85" t="s">
        <v>42</v>
      </c>
      <c r="AM4" s="167" t="s">
        <v>43</v>
      </c>
      <c r="AN4" s="167" t="s">
        <v>44</v>
      </c>
      <c r="AO4" s="167" t="s">
        <v>45</v>
      </c>
      <c r="AQ4" s="36" t="s">
        <v>35</v>
      </c>
      <c r="AR4" s="36" t="s">
        <v>46</v>
      </c>
      <c r="AS4" s="36" t="s">
        <v>16</v>
      </c>
      <c r="AT4" s="36" t="s">
        <v>47</v>
      </c>
      <c r="AU4" s="36" t="s">
        <v>36</v>
      </c>
      <c r="AV4" s="37" t="s">
        <v>14</v>
      </c>
      <c r="AW4" s="260" t="s">
        <v>48</v>
      </c>
      <c r="AX4" s="261"/>
      <c r="AY4" s="261"/>
      <c r="AZ4" s="262"/>
    </row>
    <row r="5" spans="1:52" s="35" customFormat="1" ht="20.45" customHeight="1" x14ac:dyDescent="0.2">
      <c r="A5" s="224"/>
      <c r="B5" s="170"/>
      <c r="C5" s="38"/>
      <c r="D5" s="171"/>
      <c r="E5" s="206"/>
      <c r="F5" s="207"/>
      <c r="G5" s="39">
        <v>1</v>
      </c>
      <c r="H5" s="40">
        <v>2</v>
      </c>
      <c r="I5" s="41">
        <v>3</v>
      </c>
      <c r="J5" s="41">
        <v>4</v>
      </c>
      <c r="K5" s="42">
        <v>5</v>
      </c>
      <c r="L5" s="127">
        <v>6</v>
      </c>
      <c r="M5" s="128">
        <v>7</v>
      </c>
      <c r="N5" s="44">
        <v>8</v>
      </c>
      <c r="O5" s="43">
        <v>9</v>
      </c>
      <c r="P5" s="45">
        <v>10</v>
      </c>
      <c r="Q5" s="44">
        <v>11</v>
      </c>
      <c r="R5" s="43">
        <v>12</v>
      </c>
      <c r="S5" s="135">
        <v>13</v>
      </c>
      <c r="T5" s="127">
        <v>14</v>
      </c>
      <c r="U5" s="43">
        <v>15</v>
      </c>
      <c r="V5" s="43">
        <v>16</v>
      </c>
      <c r="W5" s="46">
        <v>17</v>
      </c>
      <c r="X5" s="45">
        <v>18</v>
      </c>
      <c r="Y5" s="44">
        <v>19</v>
      </c>
      <c r="Z5" s="127">
        <v>20</v>
      </c>
      <c r="AA5" s="136">
        <v>21</v>
      </c>
      <c r="AB5" s="137">
        <v>22</v>
      </c>
      <c r="AC5" s="43">
        <v>23</v>
      </c>
      <c r="AD5" s="44">
        <v>24</v>
      </c>
      <c r="AE5" s="44">
        <v>25</v>
      </c>
      <c r="AF5" s="44">
        <v>26</v>
      </c>
      <c r="AG5" s="127">
        <v>27</v>
      </c>
      <c r="AH5" s="136">
        <v>28</v>
      </c>
      <c r="AI5" s="137">
        <v>29</v>
      </c>
      <c r="AJ5" s="40">
        <v>30</v>
      </c>
      <c r="AK5" s="47">
        <v>31</v>
      </c>
      <c r="AL5" s="286"/>
      <c r="AM5" s="168" t="s">
        <v>49</v>
      </c>
      <c r="AN5" s="168" t="s">
        <v>50</v>
      </c>
      <c r="AO5" s="168" t="s">
        <v>51</v>
      </c>
      <c r="AQ5" s="49"/>
      <c r="AR5" s="49"/>
      <c r="AS5" s="49"/>
      <c r="AT5" s="49"/>
      <c r="AU5" s="49"/>
      <c r="AV5" s="49"/>
      <c r="AW5" s="50" t="s">
        <v>35</v>
      </c>
      <c r="AX5" s="50" t="s">
        <v>16</v>
      </c>
      <c r="AY5" s="50" t="s">
        <v>36</v>
      </c>
      <c r="AZ5" s="50" t="s">
        <v>14</v>
      </c>
    </row>
    <row r="6" spans="1:52" s="64" customFormat="1" ht="20.45" customHeight="1" x14ac:dyDescent="0.2">
      <c r="A6" s="188">
        <v>1</v>
      </c>
      <c r="B6" s="189" t="s">
        <v>25</v>
      </c>
      <c r="C6" s="190" t="s">
        <v>26</v>
      </c>
      <c r="D6" s="54" t="s">
        <v>107</v>
      </c>
      <c r="E6" s="287" t="s">
        <v>113</v>
      </c>
      <c r="F6" s="288"/>
      <c r="G6" s="56" t="s">
        <v>36</v>
      </c>
      <c r="H6" s="57"/>
      <c r="I6" s="58" t="s">
        <v>36</v>
      </c>
      <c r="J6" s="58" t="s">
        <v>35</v>
      </c>
      <c r="K6" s="58"/>
      <c r="L6" s="129"/>
      <c r="M6" s="130"/>
      <c r="N6" s="58"/>
      <c r="O6" s="58"/>
      <c r="P6" s="57"/>
      <c r="Q6" s="58"/>
      <c r="R6" s="58"/>
      <c r="S6" s="129"/>
      <c r="T6" s="130"/>
      <c r="U6" s="58"/>
      <c r="V6" s="59"/>
      <c r="W6" s="57"/>
      <c r="X6" s="57"/>
      <c r="Y6" s="58"/>
      <c r="Z6" s="130" t="s">
        <v>16</v>
      </c>
      <c r="AA6" s="129" t="s">
        <v>36</v>
      </c>
      <c r="AB6" s="130"/>
      <c r="AC6" s="57"/>
      <c r="AD6" s="58"/>
      <c r="AE6" s="58"/>
      <c r="AF6" s="58"/>
      <c r="AG6" s="130"/>
      <c r="AH6" s="129"/>
      <c r="AI6" s="130"/>
      <c r="AJ6" s="58"/>
      <c r="AK6" s="60"/>
      <c r="AL6" s="293">
        <f>COUNTA($G6:$AK6)</f>
        <v>5</v>
      </c>
      <c r="AM6" s="278">
        <f>SUM($G7:$AK7)</f>
        <v>7500</v>
      </c>
      <c r="AN6" s="242"/>
      <c r="AO6" s="274" t="s">
        <v>63</v>
      </c>
      <c r="AQ6" s="65">
        <f>COUNTIF(G6:AK6,"ด")</f>
        <v>1</v>
      </c>
      <c r="AR6" s="65">
        <f>COUNTIF(G6:AK6,"ด/บ")</f>
        <v>0</v>
      </c>
      <c r="AS6" s="65">
        <f>COUNTIF(G6:AK6,"ช")</f>
        <v>1</v>
      </c>
      <c r="AT6" s="65">
        <f>COUNTIF(G6:AK6,"ช/บ")</f>
        <v>0</v>
      </c>
      <c r="AU6" s="65">
        <f>COUNTIF(G6:AK6,"บ")</f>
        <v>3</v>
      </c>
      <c r="AV6" s="65">
        <f>COUNTIF(G6:AK6,"BD")</f>
        <v>0</v>
      </c>
      <c r="AW6" s="66">
        <f t="shared" ref="AW6" si="0">AQ6+AR6</f>
        <v>1</v>
      </c>
      <c r="AX6" s="66">
        <f t="shared" ref="AX6" si="1">AS6+AT6</f>
        <v>1</v>
      </c>
      <c r="AY6" s="66">
        <f t="shared" ref="AY6" si="2">AR6+AT6+AU6</f>
        <v>3</v>
      </c>
      <c r="AZ6" s="66">
        <f>AV6</f>
        <v>0</v>
      </c>
    </row>
    <row r="7" spans="1:52" s="64" customFormat="1" ht="20.45" customHeight="1" x14ac:dyDescent="0.2">
      <c r="A7" s="177"/>
      <c r="B7" s="178"/>
      <c r="C7" s="179"/>
      <c r="D7" s="180"/>
      <c r="E7" s="289"/>
      <c r="F7" s="290"/>
      <c r="G7" s="181">
        <v>3600</v>
      </c>
      <c r="H7" s="182"/>
      <c r="I7" s="176">
        <v>1200</v>
      </c>
      <c r="J7" s="176">
        <v>600</v>
      </c>
      <c r="K7" s="176"/>
      <c r="L7" s="183"/>
      <c r="M7" s="184"/>
      <c r="N7" s="176"/>
      <c r="O7" s="176"/>
      <c r="P7" s="182"/>
      <c r="Q7" s="176"/>
      <c r="R7" s="176"/>
      <c r="S7" s="183"/>
      <c r="T7" s="184"/>
      <c r="U7" s="176"/>
      <c r="V7" s="74"/>
      <c r="W7" s="182"/>
      <c r="X7" s="182"/>
      <c r="Y7" s="176"/>
      <c r="Z7" s="184">
        <v>1200</v>
      </c>
      <c r="AA7" s="183">
        <v>900</v>
      </c>
      <c r="AB7" s="184"/>
      <c r="AC7" s="182"/>
      <c r="AD7" s="176"/>
      <c r="AE7" s="176"/>
      <c r="AF7" s="176"/>
      <c r="AG7" s="184"/>
      <c r="AH7" s="183"/>
      <c r="AI7" s="184"/>
      <c r="AJ7" s="176"/>
      <c r="AK7" s="185"/>
      <c r="AL7" s="294"/>
      <c r="AM7" s="279"/>
      <c r="AN7" s="277"/>
      <c r="AO7" s="275"/>
      <c r="AQ7" s="65"/>
      <c r="AR7" s="65"/>
      <c r="AS7" s="65"/>
      <c r="AT7" s="65"/>
      <c r="AU7" s="65"/>
      <c r="AV7" s="65"/>
      <c r="AW7" s="66"/>
      <c r="AX7" s="66"/>
      <c r="AY7" s="66"/>
      <c r="AZ7" s="66"/>
    </row>
    <row r="8" spans="1:52" s="64" customFormat="1" ht="20.45" customHeight="1" x14ac:dyDescent="0.2">
      <c r="A8" s="193"/>
      <c r="B8" s="194"/>
      <c r="C8" s="195"/>
      <c r="D8" s="196"/>
      <c r="E8" s="291"/>
      <c r="F8" s="292"/>
      <c r="G8" s="197"/>
      <c r="H8" s="198"/>
      <c r="I8" s="199"/>
      <c r="J8" s="199"/>
      <c r="K8" s="199"/>
      <c r="L8" s="200"/>
      <c r="M8" s="201"/>
      <c r="N8" s="199"/>
      <c r="O8" s="199"/>
      <c r="P8" s="198"/>
      <c r="Q8" s="199"/>
      <c r="R8" s="199"/>
      <c r="S8" s="200"/>
      <c r="T8" s="201"/>
      <c r="U8" s="199"/>
      <c r="V8" s="199"/>
      <c r="W8" s="198"/>
      <c r="X8" s="198"/>
      <c r="Y8" s="199"/>
      <c r="Z8" s="201"/>
      <c r="AA8" s="200"/>
      <c r="AB8" s="201"/>
      <c r="AC8" s="198"/>
      <c r="AD8" s="199"/>
      <c r="AE8" s="199"/>
      <c r="AF8" s="199"/>
      <c r="AG8" s="201"/>
      <c r="AH8" s="200"/>
      <c r="AI8" s="201"/>
      <c r="AJ8" s="199"/>
      <c r="AK8" s="202"/>
      <c r="AL8" s="295"/>
      <c r="AM8" s="280"/>
      <c r="AN8" s="243"/>
      <c r="AO8" s="276"/>
      <c r="AQ8" s="65"/>
      <c r="AR8" s="65"/>
      <c r="AS8" s="65"/>
      <c r="AT8" s="65"/>
      <c r="AU8" s="65"/>
      <c r="AV8" s="65"/>
      <c r="AW8" s="66"/>
      <c r="AX8" s="66"/>
      <c r="AY8" s="66"/>
      <c r="AZ8" s="66"/>
    </row>
    <row r="9" spans="1:52" s="64" customFormat="1" ht="20.45" customHeight="1" x14ac:dyDescent="0.2">
      <c r="A9" s="188">
        <v>2</v>
      </c>
      <c r="B9" s="189" t="s">
        <v>25</v>
      </c>
      <c r="C9" s="190" t="s">
        <v>26</v>
      </c>
      <c r="D9" s="54" t="s">
        <v>107</v>
      </c>
      <c r="E9" s="287" t="s">
        <v>113</v>
      </c>
      <c r="F9" s="288"/>
      <c r="G9" s="56"/>
      <c r="H9" s="57"/>
      <c r="I9" s="58"/>
      <c r="J9" s="58"/>
      <c r="K9" s="58"/>
      <c r="L9" s="129"/>
      <c r="M9" s="130"/>
      <c r="N9" s="58"/>
      <c r="O9" s="58" t="s">
        <v>36</v>
      </c>
      <c r="P9" s="57" t="s">
        <v>35</v>
      </c>
      <c r="Q9" s="58"/>
      <c r="R9" s="58"/>
      <c r="S9" s="129" t="s">
        <v>16</v>
      </c>
      <c r="T9" s="130"/>
      <c r="U9" s="58"/>
      <c r="V9" s="59"/>
      <c r="W9" s="57"/>
      <c r="X9" s="57"/>
      <c r="Y9" s="58"/>
      <c r="Z9" s="130"/>
      <c r="AA9" s="129" t="s">
        <v>36</v>
      </c>
      <c r="AB9" s="130" t="s">
        <v>35</v>
      </c>
      <c r="AC9" s="57"/>
      <c r="AD9" s="58"/>
      <c r="AE9" s="58"/>
      <c r="AF9" s="58"/>
      <c r="AG9" s="130"/>
      <c r="AH9" s="129"/>
      <c r="AI9" s="130"/>
      <c r="AJ9" s="58"/>
      <c r="AK9" s="60"/>
      <c r="AL9" s="293">
        <f>COUNTA($G9:$AK9)</f>
        <v>5</v>
      </c>
      <c r="AM9" s="278">
        <f>SUM($G10:$AK10)</f>
        <v>5700</v>
      </c>
      <c r="AN9" s="242"/>
      <c r="AO9" s="274" t="s">
        <v>63</v>
      </c>
      <c r="AQ9" s="65">
        <f>COUNTIF(G9:AK9,"ด")</f>
        <v>2</v>
      </c>
      <c r="AR9" s="65">
        <f>COUNTIF(G9:AK9,"ด/บ")</f>
        <v>0</v>
      </c>
      <c r="AS9" s="65">
        <f>COUNTIF(G9:AK9,"ช")</f>
        <v>1</v>
      </c>
      <c r="AT9" s="65">
        <f>COUNTIF(G9:AK9,"ช/บ")</f>
        <v>0</v>
      </c>
      <c r="AU9" s="65">
        <f>COUNTIF(G9:AK9,"บ")</f>
        <v>2</v>
      </c>
      <c r="AV9" s="65">
        <f>COUNTIF(G9:AK9,"BD")</f>
        <v>0</v>
      </c>
      <c r="AW9" s="66">
        <f t="shared" ref="AW9" si="3">AQ9+AR9</f>
        <v>2</v>
      </c>
      <c r="AX9" s="66">
        <f t="shared" ref="AX9" si="4">AS9+AT9</f>
        <v>1</v>
      </c>
      <c r="AY9" s="66">
        <f t="shared" ref="AY9" si="5">AR9+AT9+AU9</f>
        <v>2</v>
      </c>
      <c r="AZ9" s="66">
        <f>AV9</f>
        <v>0</v>
      </c>
    </row>
    <row r="10" spans="1:52" s="64" customFormat="1" ht="20.45" customHeight="1" x14ac:dyDescent="0.2">
      <c r="A10" s="177"/>
      <c r="B10" s="178"/>
      <c r="C10" s="179"/>
      <c r="D10" s="180"/>
      <c r="E10" s="289"/>
      <c r="F10" s="290"/>
      <c r="G10" s="181"/>
      <c r="H10" s="182"/>
      <c r="I10" s="176"/>
      <c r="J10" s="176"/>
      <c r="K10" s="176"/>
      <c r="L10" s="183"/>
      <c r="M10" s="184"/>
      <c r="N10" s="176"/>
      <c r="O10" s="176">
        <v>1200</v>
      </c>
      <c r="P10" s="182">
        <v>600</v>
      </c>
      <c r="Q10" s="176"/>
      <c r="R10" s="176"/>
      <c r="S10" s="183">
        <v>2400</v>
      </c>
      <c r="T10" s="184"/>
      <c r="U10" s="176"/>
      <c r="V10" s="74"/>
      <c r="W10" s="182"/>
      <c r="X10" s="182"/>
      <c r="Y10" s="176"/>
      <c r="Z10" s="184"/>
      <c r="AA10" s="183">
        <v>600</v>
      </c>
      <c r="AB10" s="184">
        <v>900</v>
      </c>
      <c r="AC10" s="182"/>
      <c r="AD10" s="176"/>
      <c r="AE10" s="176"/>
      <c r="AF10" s="176"/>
      <c r="AG10" s="184"/>
      <c r="AH10" s="183"/>
      <c r="AI10" s="184"/>
      <c r="AJ10" s="176"/>
      <c r="AK10" s="185"/>
      <c r="AL10" s="294"/>
      <c r="AM10" s="279"/>
      <c r="AN10" s="277"/>
      <c r="AO10" s="275"/>
      <c r="AQ10" s="65"/>
      <c r="AR10" s="65"/>
      <c r="AS10" s="65"/>
      <c r="AT10" s="65"/>
      <c r="AU10" s="65"/>
      <c r="AV10" s="65"/>
      <c r="AW10" s="66"/>
      <c r="AX10" s="66"/>
      <c r="AY10" s="66"/>
      <c r="AZ10" s="66"/>
    </row>
    <row r="11" spans="1:52" s="64" customFormat="1" ht="20.45" customHeight="1" x14ac:dyDescent="0.2">
      <c r="A11" s="193"/>
      <c r="B11" s="194"/>
      <c r="C11" s="195"/>
      <c r="D11" s="196"/>
      <c r="E11" s="291"/>
      <c r="F11" s="292"/>
      <c r="G11" s="197"/>
      <c r="H11" s="198"/>
      <c r="I11" s="199"/>
      <c r="J11" s="199"/>
      <c r="K11" s="199"/>
      <c r="L11" s="200"/>
      <c r="M11" s="201"/>
      <c r="N11" s="199"/>
      <c r="O11" s="199"/>
      <c r="P11" s="198"/>
      <c r="Q11" s="199"/>
      <c r="R11" s="199"/>
      <c r="S11" s="200"/>
      <c r="T11" s="201"/>
      <c r="U11" s="199"/>
      <c r="V11" s="199"/>
      <c r="W11" s="198"/>
      <c r="X11" s="198"/>
      <c r="Y11" s="199"/>
      <c r="Z11" s="201"/>
      <c r="AA11" s="200"/>
      <c r="AB11" s="201"/>
      <c r="AC11" s="198"/>
      <c r="AD11" s="199"/>
      <c r="AE11" s="199"/>
      <c r="AF11" s="199"/>
      <c r="AG11" s="201"/>
      <c r="AH11" s="200"/>
      <c r="AI11" s="201"/>
      <c r="AJ11" s="199"/>
      <c r="AK11" s="202"/>
      <c r="AL11" s="295"/>
      <c r="AM11" s="280"/>
      <c r="AN11" s="243"/>
      <c r="AO11" s="276"/>
      <c r="AQ11" s="65"/>
      <c r="AR11" s="65"/>
      <c r="AS11" s="65"/>
      <c r="AT11" s="65"/>
      <c r="AU11" s="65"/>
      <c r="AV11" s="65"/>
      <c r="AW11" s="66"/>
      <c r="AX11" s="66"/>
      <c r="AY11" s="66"/>
      <c r="AZ11" s="66"/>
    </row>
    <row r="12" spans="1:52" ht="20.45" customHeight="1" x14ac:dyDescent="0.45">
      <c r="A12" s="87"/>
      <c r="B12" s="88"/>
      <c r="C12" s="88"/>
      <c r="D12" s="89"/>
      <c r="E12" s="90"/>
      <c r="F12" s="90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263" t="s">
        <v>52</v>
      </c>
      <c r="AH12" s="263"/>
      <c r="AI12" s="263"/>
      <c r="AJ12" s="263"/>
      <c r="AK12" s="237"/>
      <c r="AL12" s="93">
        <f>SUM(AL6:AL11)</f>
        <v>10</v>
      </c>
      <c r="AM12" s="94">
        <f>SUM(AM6:AM11)</f>
        <v>13200</v>
      </c>
      <c r="AN12" s="95"/>
      <c r="AO12" s="96"/>
      <c r="AQ12" s="97"/>
      <c r="AR12" s="97"/>
      <c r="AS12" s="97"/>
      <c r="AT12" s="97"/>
      <c r="AU12" s="97"/>
      <c r="AV12" s="97"/>
      <c r="AW12" s="98"/>
      <c r="AX12" s="98"/>
      <c r="AY12" s="98"/>
      <c r="AZ12" s="98"/>
    </row>
    <row r="13" spans="1:52" ht="13.5" customHeight="1" x14ac:dyDescent="0.45">
      <c r="A13" s="173"/>
      <c r="B13" s="100"/>
      <c r="C13" s="100"/>
      <c r="D13" s="101"/>
      <c r="E13" s="173"/>
      <c r="F13" s="173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3"/>
      <c r="AL13" s="104"/>
      <c r="AM13" s="105"/>
      <c r="AN13" s="173"/>
      <c r="AO13" s="14"/>
      <c r="AQ13" s="106"/>
      <c r="AR13" s="106"/>
      <c r="AS13" s="106"/>
      <c r="AT13" s="106"/>
      <c r="AU13" s="106"/>
      <c r="AV13" s="106"/>
      <c r="AW13" s="107"/>
      <c r="AX13" s="107"/>
      <c r="AY13" s="107"/>
      <c r="AZ13" s="107"/>
    </row>
    <row r="14" spans="1:52" ht="24.75" customHeight="1" x14ac:dyDescent="0.45">
      <c r="B14" s="119"/>
      <c r="C14" s="119"/>
      <c r="D14" s="119" t="s">
        <v>90</v>
      </c>
      <c r="E14" s="119"/>
      <c r="F14" s="271">
        <f>+AM12</f>
        <v>13200</v>
      </c>
      <c r="G14" s="271"/>
      <c r="H14" s="271"/>
      <c r="I14" s="119" t="s">
        <v>91</v>
      </c>
      <c r="K14" s="119"/>
      <c r="L14" s="119" t="s">
        <v>92</v>
      </c>
      <c r="M14" s="119"/>
      <c r="N14" s="119"/>
      <c r="O14" s="119"/>
      <c r="P14" s="119"/>
      <c r="Q14" s="264" t="str">
        <f>"("&amp;BAHTTEXT(F14)&amp;")"</f>
        <v>(หนึ่งหมื่นสามพันสองร้อยบาทถ้วน)</v>
      </c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120"/>
      <c r="AG14" s="120"/>
      <c r="AH14" s="120"/>
      <c r="AI14" s="120"/>
      <c r="AJ14" s="120"/>
      <c r="AK14" s="120"/>
      <c r="AL14" s="108"/>
      <c r="AM14" s="13"/>
      <c r="AN14" s="13"/>
      <c r="AO14" s="13"/>
      <c r="AQ14" s="106"/>
      <c r="AR14" s="106"/>
      <c r="AS14" s="106"/>
      <c r="AT14" s="106"/>
      <c r="AU14" s="106"/>
      <c r="AV14" s="106"/>
      <c r="AW14" s="109">
        <f>SUM(AW6:AW12)</f>
        <v>3</v>
      </c>
      <c r="AX14" s="109">
        <f>SUM(AX6:AX12)</f>
        <v>2</v>
      </c>
      <c r="AY14" s="109">
        <f>SUM(AY6:AY12)</f>
        <v>5</v>
      </c>
      <c r="AZ14" s="109">
        <f>SUM(AZ6:AZ12)</f>
        <v>0</v>
      </c>
    </row>
    <row r="15" spans="1:52" ht="11.25" customHeight="1" x14ac:dyDescent="0.45">
      <c r="A15" s="165"/>
      <c r="B15" s="165"/>
      <c r="C15" s="165"/>
      <c r="D15" s="110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11"/>
      <c r="AM15" s="165"/>
      <c r="AN15" s="165"/>
      <c r="AO15" s="165"/>
      <c r="AQ15" s="106"/>
      <c r="AR15" s="106"/>
      <c r="AS15" s="106"/>
      <c r="AT15" s="106"/>
      <c r="AU15" s="106"/>
      <c r="AV15" s="106"/>
      <c r="AW15" s="112"/>
      <c r="AX15" s="112"/>
      <c r="AY15" s="112"/>
      <c r="AZ15" s="112"/>
    </row>
    <row r="16" spans="1:52" ht="20.45" customHeight="1" x14ac:dyDescent="0.45">
      <c r="A16" s="13"/>
      <c r="B16" s="13"/>
      <c r="C16" s="119"/>
      <c r="D16" s="119"/>
      <c r="E16" s="119" t="s">
        <v>58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74"/>
      <c r="AN16" s="13"/>
      <c r="AO16" s="13"/>
      <c r="AQ16" s="106"/>
      <c r="AR16" s="106"/>
      <c r="AS16" s="106"/>
      <c r="AT16" s="106"/>
      <c r="AU16" s="106"/>
      <c r="AV16" s="106"/>
      <c r="AW16" s="112"/>
      <c r="AX16" s="112"/>
      <c r="AY16" s="112"/>
      <c r="AZ16" s="112"/>
    </row>
    <row r="17" spans="1:52" ht="20.45" customHeight="1" x14ac:dyDescent="0.45">
      <c r="A17" s="13"/>
      <c r="B17" s="13"/>
      <c r="C17" s="13"/>
      <c r="D17" s="110"/>
      <c r="E17" s="13"/>
      <c r="F17" s="13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11"/>
      <c r="AM17" s="174"/>
      <c r="AN17" s="13"/>
      <c r="AO17" s="13"/>
      <c r="AQ17" s="106"/>
      <c r="AR17" s="106"/>
      <c r="AS17" s="106"/>
      <c r="AT17" s="106"/>
      <c r="AU17" s="106"/>
      <c r="AV17" s="106"/>
      <c r="AW17" s="112"/>
      <c r="AX17" s="112"/>
      <c r="AY17" s="112"/>
      <c r="AZ17" s="112"/>
    </row>
    <row r="18" spans="1:52" ht="20.45" customHeight="1" x14ac:dyDescent="0.45">
      <c r="A18" s="13"/>
      <c r="B18" s="13"/>
      <c r="C18" s="13"/>
      <c r="D18" s="110"/>
      <c r="E18" s="13"/>
      <c r="F18" s="13"/>
      <c r="G18" s="13"/>
      <c r="H18" s="13"/>
      <c r="I18" s="13"/>
      <c r="J18" s="13"/>
      <c r="K18" s="13"/>
      <c r="L18" s="13"/>
      <c r="M18" s="13"/>
      <c r="N18" s="13" t="s">
        <v>54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s">
        <v>55</v>
      </c>
      <c r="AI18" s="13"/>
      <c r="AJ18" s="13"/>
      <c r="AK18" s="13"/>
      <c r="AL18" s="108"/>
      <c r="AM18" s="13"/>
      <c r="AN18" s="13"/>
      <c r="AO18" s="13"/>
      <c r="AQ18" s="106"/>
      <c r="AR18" s="106"/>
      <c r="AS18" s="106"/>
      <c r="AT18" s="106"/>
      <c r="AU18" s="106"/>
      <c r="AV18" s="106"/>
      <c r="AW18" s="112"/>
      <c r="AX18" s="112"/>
      <c r="AY18" s="112"/>
      <c r="AZ18" s="112"/>
    </row>
    <row r="19" spans="1:52" ht="20.45" customHeight="1" x14ac:dyDescent="0.45">
      <c r="A19" s="165"/>
      <c r="B19" s="110"/>
      <c r="C19" s="13"/>
      <c r="D19" s="110"/>
      <c r="E19" s="13"/>
      <c r="F19" s="13"/>
      <c r="G19" s="13"/>
      <c r="H19" s="13"/>
      <c r="I19" s="13"/>
      <c r="J19" s="13"/>
      <c r="K19" s="13"/>
      <c r="L19" s="13"/>
      <c r="M19" s="13"/>
      <c r="N19" s="13" t="s">
        <v>100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10"/>
      <c r="AF19" s="110"/>
      <c r="AG19" s="110"/>
      <c r="AH19" s="13" t="s">
        <v>56</v>
      </c>
      <c r="AI19" s="13"/>
      <c r="AJ19" s="13"/>
      <c r="AK19" s="13"/>
      <c r="AL19" s="108"/>
      <c r="AM19" s="13"/>
      <c r="AN19" s="13"/>
      <c r="AO19" s="110"/>
      <c r="AQ19" s="106"/>
      <c r="AR19" s="106"/>
      <c r="AS19" s="106"/>
      <c r="AT19" s="106"/>
      <c r="AU19" s="106"/>
      <c r="AV19" s="106"/>
      <c r="AW19" s="112"/>
      <c r="AX19" s="112"/>
      <c r="AY19" s="112"/>
      <c r="AZ19" s="112"/>
    </row>
    <row r="20" spans="1:52" ht="23.25" customHeight="1" x14ac:dyDescent="0.45">
      <c r="A20" s="165"/>
      <c r="B20" s="110"/>
      <c r="C20" s="13"/>
      <c r="D20" s="110"/>
      <c r="E20" s="13"/>
      <c r="F20" s="13"/>
      <c r="G20" s="13"/>
      <c r="H20" s="13"/>
      <c r="I20" s="13"/>
      <c r="J20" s="13"/>
      <c r="K20" s="13"/>
      <c r="L20" s="13"/>
      <c r="M20" s="13"/>
      <c r="N20" s="248" t="s">
        <v>101</v>
      </c>
      <c r="O20" s="248"/>
      <c r="P20" s="248"/>
      <c r="Q20" s="248"/>
      <c r="R20" s="248"/>
      <c r="S20" s="248"/>
      <c r="T20" s="119"/>
      <c r="U20" s="119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08"/>
      <c r="AM20" s="174"/>
      <c r="AN20" s="13"/>
      <c r="AO20" s="13"/>
      <c r="AP20" s="13"/>
      <c r="AR20" s="114"/>
      <c r="AS20" s="106"/>
      <c r="AT20" s="106"/>
      <c r="AU20" s="106"/>
      <c r="AV20" s="106"/>
      <c r="AW20" s="112"/>
      <c r="AX20" s="112"/>
      <c r="AY20" s="112"/>
      <c r="AZ20" s="112"/>
    </row>
    <row r="21" spans="1:52" ht="23.25" customHeight="1" x14ac:dyDescent="0.45">
      <c r="A21" s="165"/>
      <c r="B21" s="110"/>
      <c r="C21" s="13"/>
      <c r="D21" s="1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08"/>
      <c r="AM21" s="174"/>
      <c r="AN21" s="13"/>
      <c r="AO21" s="13"/>
      <c r="AP21" s="13"/>
      <c r="AR21" s="114"/>
      <c r="AS21" s="106"/>
      <c r="AT21" s="106"/>
      <c r="AU21" s="106"/>
      <c r="AV21" s="106"/>
      <c r="AW21" s="112"/>
      <c r="AX21" s="112"/>
      <c r="AY21" s="112"/>
      <c r="AZ21" s="112"/>
    </row>
    <row r="22" spans="1:52" ht="23.25" customHeight="1" thickBot="1" x14ac:dyDescent="0.5">
      <c r="A22" s="165"/>
      <c r="B22" s="110"/>
      <c r="C22" s="165"/>
      <c r="D22" s="110"/>
      <c r="E22" s="13"/>
      <c r="F22" s="13"/>
      <c r="G22" s="13"/>
      <c r="H22" s="13"/>
      <c r="I22" s="13"/>
      <c r="J22" s="13"/>
      <c r="K22" s="13"/>
      <c r="L22" s="13"/>
      <c r="M22" s="13"/>
      <c r="N22" s="13" t="s">
        <v>57</v>
      </c>
      <c r="O22" s="165"/>
      <c r="P22" s="165"/>
      <c r="Q22" s="165"/>
      <c r="R22" s="165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08"/>
      <c r="AM22" s="174"/>
      <c r="AN22" s="13"/>
      <c r="AO22" s="13"/>
      <c r="AP22" s="13"/>
      <c r="AS22" s="106"/>
      <c r="AT22" s="106"/>
      <c r="AU22" s="106"/>
      <c r="AV22" s="106"/>
      <c r="AW22" s="112"/>
      <c r="AX22" s="112"/>
      <c r="AY22" s="112"/>
      <c r="AZ22" s="112"/>
    </row>
    <row r="23" spans="1:52" ht="22.5" x14ac:dyDescent="0.45">
      <c r="A23" s="173"/>
      <c r="B23" s="101"/>
      <c r="C23" s="13"/>
      <c r="D23" s="13"/>
      <c r="E23" s="13"/>
      <c r="F23" s="265" t="s">
        <v>59</v>
      </c>
      <c r="G23" s="266"/>
      <c r="H23" s="266"/>
      <c r="I23" s="266"/>
      <c r="J23" s="266"/>
      <c r="K23" s="266"/>
      <c r="L23" s="267"/>
      <c r="M23" s="13"/>
      <c r="N23" s="248" t="s">
        <v>102</v>
      </c>
      <c r="O23" s="248"/>
      <c r="P23" s="248"/>
      <c r="Q23" s="248"/>
      <c r="R23" s="248"/>
      <c r="S23" s="248"/>
      <c r="T23" s="119"/>
      <c r="U23" s="119"/>
      <c r="V23" s="119"/>
      <c r="AD23" s="13"/>
      <c r="AE23" s="13"/>
      <c r="AF23" s="13"/>
      <c r="AG23" s="13"/>
      <c r="AH23" s="13"/>
      <c r="AI23" s="13"/>
      <c r="AJ23" s="13"/>
      <c r="AK23" s="13"/>
      <c r="AL23" s="108"/>
      <c r="AM23" s="13"/>
      <c r="AN23" s="13"/>
      <c r="AO23" s="13"/>
      <c r="AP23" s="13"/>
      <c r="AW23" s="112"/>
      <c r="AX23" s="112"/>
      <c r="AY23" s="112"/>
      <c r="AZ23" s="112"/>
    </row>
    <row r="24" spans="1:52" ht="21.75" thickBot="1" x14ac:dyDescent="0.5">
      <c r="A24" s="14"/>
      <c r="B24" s="14"/>
      <c r="C24" s="14"/>
      <c r="D24" s="101"/>
      <c r="E24" s="14"/>
      <c r="F24" s="268"/>
      <c r="G24" s="269"/>
      <c r="H24" s="269"/>
      <c r="I24" s="269"/>
      <c r="J24" s="269"/>
      <c r="K24" s="269"/>
      <c r="L24" s="270"/>
      <c r="M24" s="14"/>
      <c r="N24" s="256" t="s">
        <v>103</v>
      </c>
      <c r="O24" s="256"/>
      <c r="P24" s="256"/>
      <c r="Q24" s="256"/>
      <c r="R24" s="256"/>
      <c r="S24" s="256"/>
      <c r="T24" s="205"/>
      <c r="U24" s="205"/>
      <c r="V24" s="205"/>
      <c r="AD24" s="14"/>
      <c r="AE24" s="14"/>
      <c r="AF24" s="14"/>
      <c r="AG24" s="14"/>
      <c r="AH24" s="14"/>
      <c r="AI24" s="14"/>
      <c r="AJ24" s="14"/>
      <c r="AK24" s="14"/>
      <c r="AL24" s="115"/>
      <c r="AM24" s="105"/>
      <c r="AN24" s="14"/>
      <c r="AO24" s="14"/>
    </row>
  </sheetData>
  <sheetProtection password="CEEF" sheet="1" formatCells="0" formatColumns="0" formatRows="0" insertColumns="0" insertRows="0" insertHyperlinks="0" deleteColumns="0" deleteRows="0" sort="0" autoFilter="0" pivotTables="0"/>
  <mergeCells count="31">
    <mergeCell ref="AM9:AM11"/>
    <mergeCell ref="E4:F4"/>
    <mergeCell ref="E9:F9"/>
    <mergeCell ref="AN9:AN11"/>
    <mergeCell ref="AO9:AO11"/>
    <mergeCell ref="E10:F10"/>
    <mergeCell ref="E11:F11"/>
    <mergeCell ref="AL6:AL8"/>
    <mergeCell ref="AL9:AL11"/>
    <mergeCell ref="AM6:AM8"/>
    <mergeCell ref="E6:F6"/>
    <mergeCell ref="AN6:AN8"/>
    <mergeCell ref="AO6:AO8"/>
    <mergeCell ref="E7:F7"/>
    <mergeCell ref="E8:F8"/>
    <mergeCell ref="AG12:AK12"/>
    <mergeCell ref="F14:H14"/>
    <mergeCell ref="Q14:AE14"/>
    <mergeCell ref="N20:S20"/>
    <mergeCell ref="F23:L24"/>
    <mergeCell ref="N23:S23"/>
    <mergeCell ref="N24:S24"/>
    <mergeCell ref="A1:AO1"/>
    <mergeCell ref="AW1:AZ1"/>
    <mergeCell ref="A2:AO2"/>
    <mergeCell ref="A3:AO3"/>
    <mergeCell ref="A4:A5"/>
    <mergeCell ref="B4:C4"/>
    <mergeCell ref="G4:AK4"/>
    <mergeCell ref="AL4:AL5"/>
    <mergeCell ref="AW4:AZ4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57" fitToHeight="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EFEA-E924-4249-8C51-5EFE7CCE40A0}">
  <sheetPr>
    <tabColor theme="4" tint="0.59999389629810485"/>
    <pageSetUpPr fitToPage="1"/>
  </sheetPr>
  <dimension ref="A1:BB24"/>
  <sheetViews>
    <sheetView showGridLines="0" zoomScale="85" zoomScaleNormal="85" workbookViewId="0">
      <selection activeCell="N11" sqref="N11"/>
    </sheetView>
  </sheetViews>
  <sheetFormatPr defaultRowHeight="21" x14ac:dyDescent="0.45"/>
  <cols>
    <col min="1" max="1" width="5" style="30" customWidth="1"/>
    <col min="2" max="2" width="12.625" style="30" customWidth="1"/>
    <col min="3" max="3" width="12" style="30" customWidth="1"/>
    <col min="4" max="4" width="16.625" style="116" customWidth="1"/>
    <col min="5" max="6" width="3.625" style="30" customWidth="1"/>
    <col min="7" max="37" width="4.375" style="30" customWidth="1"/>
    <col min="38" max="38" width="4.75" style="220" customWidth="1"/>
    <col min="39" max="40" width="9.875" style="118" customWidth="1"/>
    <col min="41" max="41" width="9" style="30"/>
    <col min="42" max="42" width="13.75" style="30" customWidth="1"/>
    <col min="43" max="43" width="8.75" style="30" customWidth="1"/>
    <col min="44" max="46" width="4.5" style="30" customWidth="1"/>
    <col min="47" max="47" width="4" style="30" customWidth="1"/>
    <col min="48" max="48" width="3.75" style="30" customWidth="1"/>
    <col min="49" max="49" width="4.125" style="30" customWidth="1"/>
    <col min="50" max="50" width="3.75" style="30" customWidth="1"/>
    <col min="51" max="51" width="4.25" style="30" customWidth="1"/>
    <col min="52" max="52" width="4" style="30" customWidth="1"/>
    <col min="53" max="53" width="4.75" style="30" customWidth="1"/>
    <col min="54" max="256" width="9" style="30"/>
    <col min="257" max="257" width="5" style="30" customWidth="1"/>
    <col min="258" max="258" width="12.625" style="30" customWidth="1"/>
    <col min="259" max="259" width="12" style="30" customWidth="1"/>
    <col min="260" max="260" width="16.875" style="30" customWidth="1"/>
    <col min="261" max="262" width="4.125" style="30" customWidth="1"/>
    <col min="263" max="293" width="2.875" style="30" customWidth="1"/>
    <col min="294" max="295" width="4.125" style="30" customWidth="1"/>
    <col min="296" max="296" width="9.875" style="30" customWidth="1"/>
    <col min="297" max="297" width="9" style="30"/>
    <col min="298" max="298" width="13.75" style="30" customWidth="1"/>
    <col min="299" max="299" width="8.75" style="30" customWidth="1"/>
    <col min="300" max="302" width="4.5" style="30" customWidth="1"/>
    <col min="303" max="303" width="4" style="30" customWidth="1"/>
    <col min="304" max="304" width="3.75" style="30" customWidth="1"/>
    <col min="305" max="305" width="4.125" style="30" customWidth="1"/>
    <col min="306" max="306" width="3.75" style="30" customWidth="1"/>
    <col min="307" max="307" width="4.25" style="30" customWidth="1"/>
    <col min="308" max="308" width="4" style="30" customWidth="1"/>
    <col min="309" max="309" width="4.75" style="30" customWidth="1"/>
    <col min="310" max="512" width="9" style="30"/>
    <col min="513" max="513" width="5" style="30" customWidth="1"/>
    <col min="514" max="514" width="12.625" style="30" customWidth="1"/>
    <col min="515" max="515" width="12" style="30" customWidth="1"/>
    <col min="516" max="516" width="16.875" style="30" customWidth="1"/>
    <col min="517" max="518" width="4.125" style="30" customWidth="1"/>
    <col min="519" max="549" width="2.875" style="30" customWidth="1"/>
    <col min="550" max="551" width="4.125" style="30" customWidth="1"/>
    <col min="552" max="552" width="9.875" style="30" customWidth="1"/>
    <col min="553" max="553" width="9" style="30"/>
    <col min="554" max="554" width="13.75" style="30" customWidth="1"/>
    <col min="555" max="555" width="8.75" style="30" customWidth="1"/>
    <col min="556" max="558" width="4.5" style="30" customWidth="1"/>
    <col min="559" max="559" width="4" style="30" customWidth="1"/>
    <col min="560" max="560" width="3.75" style="30" customWidth="1"/>
    <col min="561" max="561" width="4.125" style="30" customWidth="1"/>
    <col min="562" max="562" width="3.75" style="30" customWidth="1"/>
    <col min="563" max="563" width="4.25" style="30" customWidth="1"/>
    <col min="564" max="564" width="4" style="30" customWidth="1"/>
    <col min="565" max="565" width="4.75" style="30" customWidth="1"/>
    <col min="566" max="768" width="9" style="30"/>
    <col min="769" max="769" width="5" style="30" customWidth="1"/>
    <col min="770" max="770" width="12.625" style="30" customWidth="1"/>
    <col min="771" max="771" width="12" style="30" customWidth="1"/>
    <col min="772" max="772" width="16.875" style="30" customWidth="1"/>
    <col min="773" max="774" width="4.125" style="30" customWidth="1"/>
    <col min="775" max="805" width="2.875" style="30" customWidth="1"/>
    <col min="806" max="807" width="4.125" style="30" customWidth="1"/>
    <col min="808" max="808" width="9.875" style="30" customWidth="1"/>
    <col min="809" max="809" width="9" style="30"/>
    <col min="810" max="810" width="13.75" style="30" customWidth="1"/>
    <col min="811" max="811" width="8.75" style="30" customWidth="1"/>
    <col min="812" max="814" width="4.5" style="30" customWidth="1"/>
    <col min="815" max="815" width="4" style="30" customWidth="1"/>
    <col min="816" max="816" width="3.75" style="30" customWidth="1"/>
    <col min="817" max="817" width="4.125" style="30" customWidth="1"/>
    <col min="818" max="818" width="3.75" style="30" customWidth="1"/>
    <col min="819" max="819" width="4.25" style="30" customWidth="1"/>
    <col min="820" max="820" width="4" style="30" customWidth="1"/>
    <col min="821" max="821" width="4.75" style="30" customWidth="1"/>
    <col min="822" max="1024" width="9" style="30"/>
    <col min="1025" max="1025" width="5" style="30" customWidth="1"/>
    <col min="1026" max="1026" width="12.625" style="30" customWidth="1"/>
    <col min="1027" max="1027" width="12" style="30" customWidth="1"/>
    <col min="1028" max="1028" width="16.875" style="30" customWidth="1"/>
    <col min="1029" max="1030" width="4.125" style="30" customWidth="1"/>
    <col min="1031" max="1061" width="2.875" style="30" customWidth="1"/>
    <col min="1062" max="1063" width="4.125" style="30" customWidth="1"/>
    <col min="1064" max="1064" width="9.875" style="30" customWidth="1"/>
    <col min="1065" max="1065" width="9" style="30"/>
    <col min="1066" max="1066" width="13.75" style="30" customWidth="1"/>
    <col min="1067" max="1067" width="8.75" style="30" customWidth="1"/>
    <col min="1068" max="1070" width="4.5" style="30" customWidth="1"/>
    <col min="1071" max="1071" width="4" style="30" customWidth="1"/>
    <col min="1072" max="1072" width="3.75" style="30" customWidth="1"/>
    <col min="1073" max="1073" width="4.125" style="30" customWidth="1"/>
    <col min="1074" max="1074" width="3.75" style="30" customWidth="1"/>
    <col min="1075" max="1075" width="4.25" style="30" customWidth="1"/>
    <col min="1076" max="1076" width="4" style="30" customWidth="1"/>
    <col min="1077" max="1077" width="4.75" style="30" customWidth="1"/>
    <col min="1078" max="1280" width="9" style="30"/>
    <col min="1281" max="1281" width="5" style="30" customWidth="1"/>
    <col min="1282" max="1282" width="12.625" style="30" customWidth="1"/>
    <col min="1283" max="1283" width="12" style="30" customWidth="1"/>
    <col min="1284" max="1284" width="16.875" style="30" customWidth="1"/>
    <col min="1285" max="1286" width="4.125" style="30" customWidth="1"/>
    <col min="1287" max="1317" width="2.875" style="30" customWidth="1"/>
    <col min="1318" max="1319" width="4.125" style="30" customWidth="1"/>
    <col min="1320" max="1320" width="9.875" style="30" customWidth="1"/>
    <col min="1321" max="1321" width="9" style="30"/>
    <col min="1322" max="1322" width="13.75" style="30" customWidth="1"/>
    <col min="1323" max="1323" width="8.75" style="30" customWidth="1"/>
    <col min="1324" max="1326" width="4.5" style="30" customWidth="1"/>
    <col min="1327" max="1327" width="4" style="30" customWidth="1"/>
    <col min="1328" max="1328" width="3.75" style="30" customWidth="1"/>
    <col min="1329" max="1329" width="4.125" style="30" customWidth="1"/>
    <col min="1330" max="1330" width="3.75" style="30" customWidth="1"/>
    <col min="1331" max="1331" width="4.25" style="30" customWidth="1"/>
    <col min="1332" max="1332" width="4" style="30" customWidth="1"/>
    <col min="1333" max="1333" width="4.75" style="30" customWidth="1"/>
    <col min="1334" max="1536" width="9" style="30"/>
    <col min="1537" max="1537" width="5" style="30" customWidth="1"/>
    <col min="1538" max="1538" width="12.625" style="30" customWidth="1"/>
    <col min="1539" max="1539" width="12" style="30" customWidth="1"/>
    <col min="1540" max="1540" width="16.875" style="30" customWidth="1"/>
    <col min="1541" max="1542" width="4.125" style="30" customWidth="1"/>
    <col min="1543" max="1573" width="2.875" style="30" customWidth="1"/>
    <col min="1574" max="1575" width="4.125" style="30" customWidth="1"/>
    <col min="1576" max="1576" width="9.875" style="30" customWidth="1"/>
    <col min="1577" max="1577" width="9" style="30"/>
    <col min="1578" max="1578" width="13.75" style="30" customWidth="1"/>
    <col min="1579" max="1579" width="8.75" style="30" customWidth="1"/>
    <col min="1580" max="1582" width="4.5" style="30" customWidth="1"/>
    <col min="1583" max="1583" width="4" style="30" customWidth="1"/>
    <col min="1584" max="1584" width="3.75" style="30" customWidth="1"/>
    <col min="1585" max="1585" width="4.125" style="30" customWidth="1"/>
    <col min="1586" max="1586" width="3.75" style="30" customWidth="1"/>
    <col min="1587" max="1587" width="4.25" style="30" customWidth="1"/>
    <col min="1588" max="1588" width="4" style="30" customWidth="1"/>
    <col min="1589" max="1589" width="4.75" style="30" customWidth="1"/>
    <col min="1590" max="1792" width="9" style="30"/>
    <col min="1793" max="1793" width="5" style="30" customWidth="1"/>
    <col min="1794" max="1794" width="12.625" style="30" customWidth="1"/>
    <col min="1795" max="1795" width="12" style="30" customWidth="1"/>
    <col min="1796" max="1796" width="16.875" style="30" customWidth="1"/>
    <col min="1797" max="1798" width="4.125" style="30" customWidth="1"/>
    <col min="1799" max="1829" width="2.875" style="30" customWidth="1"/>
    <col min="1830" max="1831" width="4.125" style="30" customWidth="1"/>
    <col min="1832" max="1832" width="9.875" style="30" customWidth="1"/>
    <col min="1833" max="1833" width="9" style="30"/>
    <col min="1834" max="1834" width="13.75" style="30" customWidth="1"/>
    <col min="1835" max="1835" width="8.75" style="30" customWidth="1"/>
    <col min="1836" max="1838" width="4.5" style="30" customWidth="1"/>
    <col min="1839" max="1839" width="4" style="30" customWidth="1"/>
    <col min="1840" max="1840" width="3.75" style="30" customWidth="1"/>
    <col min="1841" max="1841" width="4.125" style="30" customWidth="1"/>
    <col min="1842" max="1842" width="3.75" style="30" customWidth="1"/>
    <col min="1843" max="1843" width="4.25" style="30" customWidth="1"/>
    <col min="1844" max="1844" width="4" style="30" customWidth="1"/>
    <col min="1845" max="1845" width="4.75" style="30" customWidth="1"/>
    <col min="1846" max="2048" width="9" style="30"/>
    <col min="2049" max="2049" width="5" style="30" customWidth="1"/>
    <col min="2050" max="2050" width="12.625" style="30" customWidth="1"/>
    <col min="2051" max="2051" width="12" style="30" customWidth="1"/>
    <col min="2052" max="2052" width="16.875" style="30" customWidth="1"/>
    <col min="2053" max="2054" width="4.125" style="30" customWidth="1"/>
    <col min="2055" max="2085" width="2.875" style="30" customWidth="1"/>
    <col min="2086" max="2087" width="4.125" style="30" customWidth="1"/>
    <col min="2088" max="2088" width="9.875" style="30" customWidth="1"/>
    <col min="2089" max="2089" width="9" style="30"/>
    <col min="2090" max="2090" width="13.75" style="30" customWidth="1"/>
    <col min="2091" max="2091" width="8.75" style="30" customWidth="1"/>
    <col min="2092" max="2094" width="4.5" style="30" customWidth="1"/>
    <col min="2095" max="2095" width="4" style="30" customWidth="1"/>
    <col min="2096" max="2096" width="3.75" style="30" customWidth="1"/>
    <col min="2097" max="2097" width="4.125" style="30" customWidth="1"/>
    <col min="2098" max="2098" width="3.75" style="30" customWidth="1"/>
    <col min="2099" max="2099" width="4.25" style="30" customWidth="1"/>
    <col min="2100" max="2100" width="4" style="30" customWidth="1"/>
    <col min="2101" max="2101" width="4.75" style="30" customWidth="1"/>
    <col min="2102" max="2304" width="9" style="30"/>
    <col min="2305" max="2305" width="5" style="30" customWidth="1"/>
    <col min="2306" max="2306" width="12.625" style="30" customWidth="1"/>
    <col min="2307" max="2307" width="12" style="30" customWidth="1"/>
    <col min="2308" max="2308" width="16.875" style="30" customWidth="1"/>
    <col min="2309" max="2310" width="4.125" style="30" customWidth="1"/>
    <col min="2311" max="2341" width="2.875" style="30" customWidth="1"/>
    <col min="2342" max="2343" width="4.125" style="30" customWidth="1"/>
    <col min="2344" max="2344" width="9.875" style="30" customWidth="1"/>
    <col min="2345" max="2345" width="9" style="30"/>
    <col min="2346" max="2346" width="13.75" style="30" customWidth="1"/>
    <col min="2347" max="2347" width="8.75" style="30" customWidth="1"/>
    <col min="2348" max="2350" width="4.5" style="30" customWidth="1"/>
    <col min="2351" max="2351" width="4" style="30" customWidth="1"/>
    <col min="2352" max="2352" width="3.75" style="30" customWidth="1"/>
    <col min="2353" max="2353" width="4.125" style="30" customWidth="1"/>
    <col min="2354" max="2354" width="3.75" style="30" customWidth="1"/>
    <col min="2355" max="2355" width="4.25" style="30" customWidth="1"/>
    <col min="2356" max="2356" width="4" style="30" customWidth="1"/>
    <col min="2357" max="2357" width="4.75" style="30" customWidth="1"/>
    <col min="2358" max="2560" width="9" style="30"/>
    <col min="2561" max="2561" width="5" style="30" customWidth="1"/>
    <col min="2562" max="2562" width="12.625" style="30" customWidth="1"/>
    <col min="2563" max="2563" width="12" style="30" customWidth="1"/>
    <col min="2564" max="2564" width="16.875" style="30" customWidth="1"/>
    <col min="2565" max="2566" width="4.125" style="30" customWidth="1"/>
    <col min="2567" max="2597" width="2.875" style="30" customWidth="1"/>
    <col min="2598" max="2599" width="4.125" style="30" customWidth="1"/>
    <col min="2600" max="2600" width="9.875" style="30" customWidth="1"/>
    <col min="2601" max="2601" width="9" style="30"/>
    <col min="2602" max="2602" width="13.75" style="30" customWidth="1"/>
    <col min="2603" max="2603" width="8.75" style="30" customWidth="1"/>
    <col min="2604" max="2606" width="4.5" style="30" customWidth="1"/>
    <col min="2607" max="2607" width="4" style="30" customWidth="1"/>
    <col min="2608" max="2608" width="3.75" style="30" customWidth="1"/>
    <col min="2609" max="2609" width="4.125" style="30" customWidth="1"/>
    <col min="2610" max="2610" width="3.75" style="30" customWidth="1"/>
    <col min="2611" max="2611" width="4.25" style="30" customWidth="1"/>
    <col min="2612" max="2612" width="4" style="30" customWidth="1"/>
    <col min="2613" max="2613" width="4.75" style="30" customWidth="1"/>
    <col min="2614" max="2816" width="9" style="30"/>
    <col min="2817" max="2817" width="5" style="30" customWidth="1"/>
    <col min="2818" max="2818" width="12.625" style="30" customWidth="1"/>
    <col min="2819" max="2819" width="12" style="30" customWidth="1"/>
    <col min="2820" max="2820" width="16.875" style="30" customWidth="1"/>
    <col min="2821" max="2822" width="4.125" style="30" customWidth="1"/>
    <col min="2823" max="2853" width="2.875" style="30" customWidth="1"/>
    <col min="2854" max="2855" width="4.125" style="30" customWidth="1"/>
    <col min="2856" max="2856" width="9.875" style="30" customWidth="1"/>
    <col min="2857" max="2857" width="9" style="30"/>
    <col min="2858" max="2858" width="13.75" style="30" customWidth="1"/>
    <col min="2859" max="2859" width="8.75" style="30" customWidth="1"/>
    <col min="2860" max="2862" width="4.5" style="30" customWidth="1"/>
    <col min="2863" max="2863" width="4" style="30" customWidth="1"/>
    <col min="2864" max="2864" width="3.75" style="30" customWidth="1"/>
    <col min="2865" max="2865" width="4.125" style="30" customWidth="1"/>
    <col min="2866" max="2866" width="3.75" style="30" customWidth="1"/>
    <col min="2867" max="2867" width="4.25" style="30" customWidth="1"/>
    <col min="2868" max="2868" width="4" style="30" customWidth="1"/>
    <col min="2869" max="2869" width="4.75" style="30" customWidth="1"/>
    <col min="2870" max="3072" width="9" style="30"/>
    <col min="3073" max="3073" width="5" style="30" customWidth="1"/>
    <col min="3074" max="3074" width="12.625" style="30" customWidth="1"/>
    <col min="3075" max="3075" width="12" style="30" customWidth="1"/>
    <col min="3076" max="3076" width="16.875" style="30" customWidth="1"/>
    <col min="3077" max="3078" width="4.125" style="30" customWidth="1"/>
    <col min="3079" max="3109" width="2.875" style="30" customWidth="1"/>
    <col min="3110" max="3111" width="4.125" style="30" customWidth="1"/>
    <col min="3112" max="3112" width="9.875" style="30" customWidth="1"/>
    <col min="3113" max="3113" width="9" style="30"/>
    <col min="3114" max="3114" width="13.75" style="30" customWidth="1"/>
    <col min="3115" max="3115" width="8.75" style="30" customWidth="1"/>
    <col min="3116" max="3118" width="4.5" style="30" customWidth="1"/>
    <col min="3119" max="3119" width="4" style="30" customWidth="1"/>
    <col min="3120" max="3120" width="3.75" style="30" customWidth="1"/>
    <col min="3121" max="3121" width="4.125" style="30" customWidth="1"/>
    <col min="3122" max="3122" width="3.75" style="30" customWidth="1"/>
    <col min="3123" max="3123" width="4.25" style="30" customWidth="1"/>
    <col min="3124" max="3124" width="4" style="30" customWidth="1"/>
    <col min="3125" max="3125" width="4.75" style="30" customWidth="1"/>
    <col min="3126" max="3328" width="9" style="30"/>
    <col min="3329" max="3329" width="5" style="30" customWidth="1"/>
    <col min="3330" max="3330" width="12.625" style="30" customWidth="1"/>
    <col min="3331" max="3331" width="12" style="30" customWidth="1"/>
    <col min="3332" max="3332" width="16.875" style="30" customWidth="1"/>
    <col min="3333" max="3334" width="4.125" style="30" customWidth="1"/>
    <col min="3335" max="3365" width="2.875" style="30" customWidth="1"/>
    <col min="3366" max="3367" width="4.125" style="30" customWidth="1"/>
    <col min="3368" max="3368" width="9.875" style="30" customWidth="1"/>
    <col min="3369" max="3369" width="9" style="30"/>
    <col min="3370" max="3370" width="13.75" style="30" customWidth="1"/>
    <col min="3371" max="3371" width="8.75" style="30" customWidth="1"/>
    <col min="3372" max="3374" width="4.5" style="30" customWidth="1"/>
    <col min="3375" max="3375" width="4" style="30" customWidth="1"/>
    <col min="3376" max="3376" width="3.75" style="30" customWidth="1"/>
    <col min="3377" max="3377" width="4.125" style="30" customWidth="1"/>
    <col min="3378" max="3378" width="3.75" style="30" customWidth="1"/>
    <col min="3379" max="3379" width="4.25" style="30" customWidth="1"/>
    <col min="3380" max="3380" width="4" style="30" customWidth="1"/>
    <col min="3381" max="3381" width="4.75" style="30" customWidth="1"/>
    <col min="3382" max="3584" width="9" style="30"/>
    <col min="3585" max="3585" width="5" style="30" customWidth="1"/>
    <col min="3586" max="3586" width="12.625" style="30" customWidth="1"/>
    <col min="3587" max="3587" width="12" style="30" customWidth="1"/>
    <col min="3588" max="3588" width="16.875" style="30" customWidth="1"/>
    <col min="3589" max="3590" width="4.125" style="30" customWidth="1"/>
    <col min="3591" max="3621" width="2.875" style="30" customWidth="1"/>
    <col min="3622" max="3623" width="4.125" style="30" customWidth="1"/>
    <col min="3624" max="3624" width="9.875" style="30" customWidth="1"/>
    <col min="3625" max="3625" width="9" style="30"/>
    <col min="3626" max="3626" width="13.75" style="30" customWidth="1"/>
    <col min="3627" max="3627" width="8.75" style="30" customWidth="1"/>
    <col min="3628" max="3630" width="4.5" style="30" customWidth="1"/>
    <col min="3631" max="3631" width="4" style="30" customWidth="1"/>
    <col min="3632" max="3632" width="3.75" style="30" customWidth="1"/>
    <col min="3633" max="3633" width="4.125" style="30" customWidth="1"/>
    <col min="3634" max="3634" width="3.75" style="30" customWidth="1"/>
    <col min="3635" max="3635" width="4.25" style="30" customWidth="1"/>
    <col min="3636" max="3636" width="4" style="30" customWidth="1"/>
    <col min="3637" max="3637" width="4.75" style="30" customWidth="1"/>
    <col min="3638" max="3840" width="9" style="30"/>
    <col min="3841" max="3841" width="5" style="30" customWidth="1"/>
    <col min="3842" max="3842" width="12.625" style="30" customWidth="1"/>
    <col min="3843" max="3843" width="12" style="30" customWidth="1"/>
    <col min="3844" max="3844" width="16.875" style="30" customWidth="1"/>
    <col min="3845" max="3846" width="4.125" style="30" customWidth="1"/>
    <col min="3847" max="3877" width="2.875" style="30" customWidth="1"/>
    <col min="3878" max="3879" width="4.125" style="30" customWidth="1"/>
    <col min="3880" max="3880" width="9.875" style="30" customWidth="1"/>
    <col min="3881" max="3881" width="9" style="30"/>
    <col min="3882" max="3882" width="13.75" style="30" customWidth="1"/>
    <col min="3883" max="3883" width="8.75" style="30" customWidth="1"/>
    <col min="3884" max="3886" width="4.5" style="30" customWidth="1"/>
    <col min="3887" max="3887" width="4" style="30" customWidth="1"/>
    <col min="3888" max="3888" width="3.75" style="30" customWidth="1"/>
    <col min="3889" max="3889" width="4.125" style="30" customWidth="1"/>
    <col min="3890" max="3890" width="3.75" style="30" customWidth="1"/>
    <col min="3891" max="3891" width="4.25" style="30" customWidth="1"/>
    <col min="3892" max="3892" width="4" style="30" customWidth="1"/>
    <col min="3893" max="3893" width="4.75" style="30" customWidth="1"/>
    <col min="3894" max="4096" width="9" style="30"/>
    <col min="4097" max="4097" width="5" style="30" customWidth="1"/>
    <col min="4098" max="4098" width="12.625" style="30" customWidth="1"/>
    <col min="4099" max="4099" width="12" style="30" customWidth="1"/>
    <col min="4100" max="4100" width="16.875" style="30" customWidth="1"/>
    <col min="4101" max="4102" width="4.125" style="30" customWidth="1"/>
    <col min="4103" max="4133" width="2.875" style="30" customWidth="1"/>
    <col min="4134" max="4135" width="4.125" style="30" customWidth="1"/>
    <col min="4136" max="4136" width="9.875" style="30" customWidth="1"/>
    <col min="4137" max="4137" width="9" style="30"/>
    <col min="4138" max="4138" width="13.75" style="30" customWidth="1"/>
    <col min="4139" max="4139" width="8.75" style="30" customWidth="1"/>
    <col min="4140" max="4142" width="4.5" style="30" customWidth="1"/>
    <col min="4143" max="4143" width="4" style="30" customWidth="1"/>
    <col min="4144" max="4144" width="3.75" style="30" customWidth="1"/>
    <col min="4145" max="4145" width="4.125" style="30" customWidth="1"/>
    <col min="4146" max="4146" width="3.75" style="30" customWidth="1"/>
    <col min="4147" max="4147" width="4.25" style="30" customWidth="1"/>
    <col min="4148" max="4148" width="4" style="30" customWidth="1"/>
    <col min="4149" max="4149" width="4.75" style="30" customWidth="1"/>
    <col min="4150" max="4352" width="9" style="30"/>
    <col min="4353" max="4353" width="5" style="30" customWidth="1"/>
    <col min="4354" max="4354" width="12.625" style="30" customWidth="1"/>
    <col min="4355" max="4355" width="12" style="30" customWidth="1"/>
    <col min="4356" max="4356" width="16.875" style="30" customWidth="1"/>
    <col min="4357" max="4358" width="4.125" style="30" customWidth="1"/>
    <col min="4359" max="4389" width="2.875" style="30" customWidth="1"/>
    <col min="4390" max="4391" width="4.125" style="30" customWidth="1"/>
    <col min="4392" max="4392" width="9.875" style="30" customWidth="1"/>
    <col min="4393" max="4393" width="9" style="30"/>
    <col min="4394" max="4394" width="13.75" style="30" customWidth="1"/>
    <col min="4395" max="4395" width="8.75" style="30" customWidth="1"/>
    <col min="4396" max="4398" width="4.5" style="30" customWidth="1"/>
    <col min="4399" max="4399" width="4" style="30" customWidth="1"/>
    <col min="4400" max="4400" width="3.75" style="30" customWidth="1"/>
    <col min="4401" max="4401" width="4.125" style="30" customWidth="1"/>
    <col min="4402" max="4402" width="3.75" style="30" customWidth="1"/>
    <col min="4403" max="4403" width="4.25" style="30" customWidth="1"/>
    <col min="4404" max="4404" width="4" style="30" customWidth="1"/>
    <col min="4405" max="4405" width="4.75" style="30" customWidth="1"/>
    <col min="4406" max="4608" width="9" style="30"/>
    <col min="4609" max="4609" width="5" style="30" customWidth="1"/>
    <col min="4610" max="4610" width="12.625" style="30" customWidth="1"/>
    <col min="4611" max="4611" width="12" style="30" customWidth="1"/>
    <col min="4612" max="4612" width="16.875" style="30" customWidth="1"/>
    <col min="4613" max="4614" width="4.125" style="30" customWidth="1"/>
    <col min="4615" max="4645" width="2.875" style="30" customWidth="1"/>
    <col min="4646" max="4647" width="4.125" style="30" customWidth="1"/>
    <col min="4648" max="4648" width="9.875" style="30" customWidth="1"/>
    <col min="4649" max="4649" width="9" style="30"/>
    <col min="4650" max="4650" width="13.75" style="30" customWidth="1"/>
    <col min="4651" max="4651" width="8.75" style="30" customWidth="1"/>
    <col min="4652" max="4654" width="4.5" style="30" customWidth="1"/>
    <col min="4655" max="4655" width="4" style="30" customWidth="1"/>
    <col min="4656" max="4656" width="3.75" style="30" customWidth="1"/>
    <col min="4657" max="4657" width="4.125" style="30" customWidth="1"/>
    <col min="4658" max="4658" width="3.75" style="30" customWidth="1"/>
    <col min="4659" max="4659" width="4.25" style="30" customWidth="1"/>
    <col min="4660" max="4660" width="4" style="30" customWidth="1"/>
    <col min="4661" max="4661" width="4.75" style="30" customWidth="1"/>
    <col min="4662" max="4864" width="9" style="30"/>
    <col min="4865" max="4865" width="5" style="30" customWidth="1"/>
    <col min="4866" max="4866" width="12.625" style="30" customWidth="1"/>
    <col min="4867" max="4867" width="12" style="30" customWidth="1"/>
    <col min="4868" max="4868" width="16.875" style="30" customWidth="1"/>
    <col min="4869" max="4870" width="4.125" style="30" customWidth="1"/>
    <col min="4871" max="4901" width="2.875" style="30" customWidth="1"/>
    <col min="4902" max="4903" width="4.125" style="30" customWidth="1"/>
    <col min="4904" max="4904" width="9.875" style="30" customWidth="1"/>
    <col min="4905" max="4905" width="9" style="30"/>
    <col min="4906" max="4906" width="13.75" style="30" customWidth="1"/>
    <col min="4907" max="4907" width="8.75" style="30" customWidth="1"/>
    <col min="4908" max="4910" width="4.5" style="30" customWidth="1"/>
    <col min="4911" max="4911" width="4" style="30" customWidth="1"/>
    <col min="4912" max="4912" width="3.75" style="30" customWidth="1"/>
    <col min="4913" max="4913" width="4.125" style="30" customWidth="1"/>
    <col min="4914" max="4914" width="3.75" style="30" customWidth="1"/>
    <col min="4915" max="4915" width="4.25" style="30" customWidth="1"/>
    <col min="4916" max="4916" width="4" style="30" customWidth="1"/>
    <col min="4917" max="4917" width="4.75" style="30" customWidth="1"/>
    <col min="4918" max="5120" width="9" style="30"/>
    <col min="5121" max="5121" width="5" style="30" customWidth="1"/>
    <col min="5122" max="5122" width="12.625" style="30" customWidth="1"/>
    <col min="5123" max="5123" width="12" style="30" customWidth="1"/>
    <col min="5124" max="5124" width="16.875" style="30" customWidth="1"/>
    <col min="5125" max="5126" width="4.125" style="30" customWidth="1"/>
    <col min="5127" max="5157" width="2.875" style="30" customWidth="1"/>
    <col min="5158" max="5159" width="4.125" style="30" customWidth="1"/>
    <col min="5160" max="5160" width="9.875" style="30" customWidth="1"/>
    <col min="5161" max="5161" width="9" style="30"/>
    <col min="5162" max="5162" width="13.75" style="30" customWidth="1"/>
    <col min="5163" max="5163" width="8.75" style="30" customWidth="1"/>
    <col min="5164" max="5166" width="4.5" style="30" customWidth="1"/>
    <col min="5167" max="5167" width="4" style="30" customWidth="1"/>
    <col min="5168" max="5168" width="3.75" style="30" customWidth="1"/>
    <col min="5169" max="5169" width="4.125" style="30" customWidth="1"/>
    <col min="5170" max="5170" width="3.75" style="30" customWidth="1"/>
    <col min="5171" max="5171" width="4.25" style="30" customWidth="1"/>
    <col min="5172" max="5172" width="4" style="30" customWidth="1"/>
    <col min="5173" max="5173" width="4.75" style="30" customWidth="1"/>
    <col min="5174" max="5376" width="9" style="30"/>
    <col min="5377" max="5377" width="5" style="30" customWidth="1"/>
    <col min="5378" max="5378" width="12.625" style="30" customWidth="1"/>
    <col min="5379" max="5379" width="12" style="30" customWidth="1"/>
    <col min="5380" max="5380" width="16.875" style="30" customWidth="1"/>
    <col min="5381" max="5382" width="4.125" style="30" customWidth="1"/>
    <col min="5383" max="5413" width="2.875" style="30" customWidth="1"/>
    <col min="5414" max="5415" width="4.125" style="30" customWidth="1"/>
    <col min="5416" max="5416" width="9.875" style="30" customWidth="1"/>
    <col min="5417" max="5417" width="9" style="30"/>
    <col min="5418" max="5418" width="13.75" style="30" customWidth="1"/>
    <col min="5419" max="5419" width="8.75" style="30" customWidth="1"/>
    <col min="5420" max="5422" width="4.5" style="30" customWidth="1"/>
    <col min="5423" max="5423" width="4" style="30" customWidth="1"/>
    <col min="5424" max="5424" width="3.75" style="30" customWidth="1"/>
    <col min="5425" max="5425" width="4.125" style="30" customWidth="1"/>
    <col min="5426" max="5426" width="3.75" style="30" customWidth="1"/>
    <col min="5427" max="5427" width="4.25" style="30" customWidth="1"/>
    <col min="5428" max="5428" width="4" style="30" customWidth="1"/>
    <col min="5429" max="5429" width="4.75" style="30" customWidth="1"/>
    <col min="5430" max="5632" width="9" style="30"/>
    <col min="5633" max="5633" width="5" style="30" customWidth="1"/>
    <col min="5634" max="5634" width="12.625" style="30" customWidth="1"/>
    <col min="5635" max="5635" width="12" style="30" customWidth="1"/>
    <col min="5636" max="5636" width="16.875" style="30" customWidth="1"/>
    <col min="5637" max="5638" width="4.125" style="30" customWidth="1"/>
    <col min="5639" max="5669" width="2.875" style="30" customWidth="1"/>
    <col min="5670" max="5671" width="4.125" style="30" customWidth="1"/>
    <col min="5672" max="5672" width="9.875" style="30" customWidth="1"/>
    <col min="5673" max="5673" width="9" style="30"/>
    <col min="5674" max="5674" width="13.75" style="30" customWidth="1"/>
    <col min="5675" max="5675" width="8.75" style="30" customWidth="1"/>
    <col min="5676" max="5678" width="4.5" style="30" customWidth="1"/>
    <col min="5679" max="5679" width="4" style="30" customWidth="1"/>
    <col min="5680" max="5680" width="3.75" style="30" customWidth="1"/>
    <col min="5681" max="5681" width="4.125" style="30" customWidth="1"/>
    <col min="5682" max="5682" width="3.75" style="30" customWidth="1"/>
    <col min="5683" max="5683" width="4.25" style="30" customWidth="1"/>
    <col min="5684" max="5684" width="4" style="30" customWidth="1"/>
    <col min="5685" max="5685" width="4.75" style="30" customWidth="1"/>
    <col min="5686" max="5888" width="9" style="30"/>
    <col min="5889" max="5889" width="5" style="30" customWidth="1"/>
    <col min="5890" max="5890" width="12.625" style="30" customWidth="1"/>
    <col min="5891" max="5891" width="12" style="30" customWidth="1"/>
    <col min="5892" max="5892" width="16.875" style="30" customWidth="1"/>
    <col min="5893" max="5894" width="4.125" style="30" customWidth="1"/>
    <col min="5895" max="5925" width="2.875" style="30" customWidth="1"/>
    <col min="5926" max="5927" width="4.125" style="30" customWidth="1"/>
    <col min="5928" max="5928" width="9.875" style="30" customWidth="1"/>
    <col min="5929" max="5929" width="9" style="30"/>
    <col min="5930" max="5930" width="13.75" style="30" customWidth="1"/>
    <col min="5931" max="5931" width="8.75" style="30" customWidth="1"/>
    <col min="5932" max="5934" width="4.5" style="30" customWidth="1"/>
    <col min="5935" max="5935" width="4" style="30" customWidth="1"/>
    <col min="5936" max="5936" width="3.75" style="30" customWidth="1"/>
    <col min="5937" max="5937" width="4.125" style="30" customWidth="1"/>
    <col min="5938" max="5938" width="3.75" style="30" customWidth="1"/>
    <col min="5939" max="5939" width="4.25" style="30" customWidth="1"/>
    <col min="5940" max="5940" width="4" style="30" customWidth="1"/>
    <col min="5941" max="5941" width="4.75" style="30" customWidth="1"/>
    <col min="5942" max="6144" width="9" style="30"/>
    <col min="6145" max="6145" width="5" style="30" customWidth="1"/>
    <col min="6146" max="6146" width="12.625" style="30" customWidth="1"/>
    <col min="6147" max="6147" width="12" style="30" customWidth="1"/>
    <col min="6148" max="6148" width="16.875" style="30" customWidth="1"/>
    <col min="6149" max="6150" width="4.125" style="30" customWidth="1"/>
    <col min="6151" max="6181" width="2.875" style="30" customWidth="1"/>
    <col min="6182" max="6183" width="4.125" style="30" customWidth="1"/>
    <col min="6184" max="6184" width="9.875" style="30" customWidth="1"/>
    <col min="6185" max="6185" width="9" style="30"/>
    <col min="6186" max="6186" width="13.75" style="30" customWidth="1"/>
    <col min="6187" max="6187" width="8.75" style="30" customWidth="1"/>
    <col min="6188" max="6190" width="4.5" style="30" customWidth="1"/>
    <col min="6191" max="6191" width="4" style="30" customWidth="1"/>
    <col min="6192" max="6192" width="3.75" style="30" customWidth="1"/>
    <col min="6193" max="6193" width="4.125" style="30" customWidth="1"/>
    <col min="6194" max="6194" width="3.75" style="30" customWidth="1"/>
    <col min="6195" max="6195" width="4.25" style="30" customWidth="1"/>
    <col min="6196" max="6196" width="4" style="30" customWidth="1"/>
    <col min="6197" max="6197" width="4.75" style="30" customWidth="1"/>
    <col min="6198" max="6400" width="9" style="30"/>
    <col min="6401" max="6401" width="5" style="30" customWidth="1"/>
    <col min="6402" max="6402" width="12.625" style="30" customWidth="1"/>
    <col min="6403" max="6403" width="12" style="30" customWidth="1"/>
    <col min="6404" max="6404" width="16.875" style="30" customWidth="1"/>
    <col min="6405" max="6406" width="4.125" style="30" customWidth="1"/>
    <col min="6407" max="6437" width="2.875" style="30" customWidth="1"/>
    <col min="6438" max="6439" width="4.125" style="30" customWidth="1"/>
    <col min="6440" max="6440" width="9.875" style="30" customWidth="1"/>
    <col min="6441" max="6441" width="9" style="30"/>
    <col min="6442" max="6442" width="13.75" style="30" customWidth="1"/>
    <col min="6443" max="6443" width="8.75" style="30" customWidth="1"/>
    <col min="6444" max="6446" width="4.5" style="30" customWidth="1"/>
    <col min="6447" max="6447" width="4" style="30" customWidth="1"/>
    <col min="6448" max="6448" width="3.75" style="30" customWidth="1"/>
    <col min="6449" max="6449" width="4.125" style="30" customWidth="1"/>
    <col min="6450" max="6450" width="3.75" style="30" customWidth="1"/>
    <col min="6451" max="6451" width="4.25" style="30" customWidth="1"/>
    <col min="6452" max="6452" width="4" style="30" customWidth="1"/>
    <col min="6453" max="6453" width="4.75" style="30" customWidth="1"/>
    <col min="6454" max="6656" width="9" style="30"/>
    <col min="6657" max="6657" width="5" style="30" customWidth="1"/>
    <col min="6658" max="6658" width="12.625" style="30" customWidth="1"/>
    <col min="6659" max="6659" width="12" style="30" customWidth="1"/>
    <col min="6660" max="6660" width="16.875" style="30" customWidth="1"/>
    <col min="6661" max="6662" width="4.125" style="30" customWidth="1"/>
    <col min="6663" max="6693" width="2.875" style="30" customWidth="1"/>
    <col min="6694" max="6695" width="4.125" style="30" customWidth="1"/>
    <col min="6696" max="6696" width="9.875" style="30" customWidth="1"/>
    <col min="6697" max="6697" width="9" style="30"/>
    <col min="6698" max="6698" width="13.75" style="30" customWidth="1"/>
    <col min="6699" max="6699" width="8.75" style="30" customWidth="1"/>
    <col min="6700" max="6702" width="4.5" style="30" customWidth="1"/>
    <col min="6703" max="6703" width="4" style="30" customWidth="1"/>
    <col min="6704" max="6704" width="3.75" style="30" customWidth="1"/>
    <col min="6705" max="6705" width="4.125" style="30" customWidth="1"/>
    <col min="6706" max="6706" width="3.75" style="30" customWidth="1"/>
    <col min="6707" max="6707" width="4.25" style="30" customWidth="1"/>
    <col min="6708" max="6708" width="4" style="30" customWidth="1"/>
    <col min="6709" max="6709" width="4.75" style="30" customWidth="1"/>
    <col min="6710" max="6912" width="9" style="30"/>
    <col min="6913" max="6913" width="5" style="30" customWidth="1"/>
    <col min="6914" max="6914" width="12.625" style="30" customWidth="1"/>
    <col min="6915" max="6915" width="12" style="30" customWidth="1"/>
    <col min="6916" max="6916" width="16.875" style="30" customWidth="1"/>
    <col min="6917" max="6918" width="4.125" style="30" customWidth="1"/>
    <col min="6919" max="6949" width="2.875" style="30" customWidth="1"/>
    <col min="6950" max="6951" width="4.125" style="30" customWidth="1"/>
    <col min="6952" max="6952" width="9.875" style="30" customWidth="1"/>
    <col min="6953" max="6953" width="9" style="30"/>
    <col min="6954" max="6954" width="13.75" style="30" customWidth="1"/>
    <col min="6955" max="6955" width="8.75" style="30" customWidth="1"/>
    <col min="6956" max="6958" width="4.5" style="30" customWidth="1"/>
    <col min="6959" max="6959" width="4" style="30" customWidth="1"/>
    <col min="6960" max="6960" width="3.75" style="30" customWidth="1"/>
    <col min="6961" max="6961" width="4.125" style="30" customWidth="1"/>
    <col min="6962" max="6962" width="3.75" style="30" customWidth="1"/>
    <col min="6963" max="6963" width="4.25" style="30" customWidth="1"/>
    <col min="6964" max="6964" width="4" style="30" customWidth="1"/>
    <col min="6965" max="6965" width="4.75" style="30" customWidth="1"/>
    <col min="6966" max="7168" width="9" style="30"/>
    <col min="7169" max="7169" width="5" style="30" customWidth="1"/>
    <col min="7170" max="7170" width="12.625" style="30" customWidth="1"/>
    <col min="7171" max="7171" width="12" style="30" customWidth="1"/>
    <col min="7172" max="7172" width="16.875" style="30" customWidth="1"/>
    <col min="7173" max="7174" width="4.125" style="30" customWidth="1"/>
    <col min="7175" max="7205" width="2.875" style="30" customWidth="1"/>
    <col min="7206" max="7207" width="4.125" style="30" customWidth="1"/>
    <col min="7208" max="7208" width="9.875" style="30" customWidth="1"/>
    <col min="7209" max="7209" width="9" style="30"/>
    <col min="7210" max="7210" width="13.75" style="30" customWidth="1"/>
    <col min="7211" max="7211" width="8.75" style="30" customWidth="1"/>
    <col min="7212" max="7214" width="4.5" style="30" customWidth="1"/>
    <col min="7215" max="7215" width="4" style="30" customWidth="1"/>
    <col min="7216" max="7216" width="3.75" style="30" customWidth="1"/>
    <col min="7217" max="7217" width="4.125" style="30" customWidth="1"/>
    <col min="7218" max="7218" width="3.75" style="30" customWidth="1"/>
    <col min="7219" max="7219" width="4.25" style="30" customWidth="1"/>
    <col min="7220" max="7220" width="4" style="30" customWidth="1"/>
    <col min="7221" max="7221" width="4.75" style="30" customWidth="1"/>
    <col min="7222" max="7424" width="9" style="30"/>
    <col min="7425" max="7425" width="5" style="30" customWidth="1"/>
    <col min="7426" max="7426" width="12.625" style="30" customWidth="1"/>
    <col min="7427" max="7427" width="12" style="30" customWidth="1"/>
    <col min="7428" max="7428" width="16.875" style="30" customWidth="1"/>
    <col min="7429" max="7430" width="4.125" style="30" customWidth="1"/>
    <col min="7431" max="7461" width="2.875" style="30" customWidth="1"/>
    <col min="7462" max="7463" width="4.125" style="30" customWidth="1"/>
    <col min="7464" max="7464" width="9.875" style="30" customWidth="1"/>
    <col min="7465" max="7465" width="9" style="30"/>
    <col min="7466" max="7466" width="13.75" style="30" customWidth="1"/>
    <col min="7467" max="7467" width="8.75" style="30" customWidth="1"/>
    <col min="7468" max="7470" width="4.5" style="30" customWidth="1"/>
    <col min="7471" max="7471" width="4" style="30" customWidth="1"/>
    <col min="7472" max="7472" width="3.75" style="30" customWidth="1"/>
    <col min="7473" max="7473" width="4.125" style="30" customWidth="1"/>
    <col min="7474" max="7474" width="3.75" style="30" customWidth="1"/>
    <col min="7475" max="7475" width="4.25" style="30" customWidth="1"/>
    <col min="7476" max="7476" width="4" style="30" customWidth="1"/>
    <col min="7477" max="7477" width="4.75" style="30" customWidth="1"/>
    <col min="7478" max="7680" width="9" style="30"/>
    <col min="7681" max="7681" width="5" style="30" customWidth="1"/>
    <col min="7682" max="7682" width="12.625" style="30" customWidth="1"/>
    <col min="7683" max="7683" width="12" style="30" customWidth="1"/>
    <col min="7684" max="7684" width="16.875" style="30" customWidth="1"/>
    <col min="7685" max="7686" width="4.125" style="30" customWidth="1"/>
    <col min="7687" max="7717" width="2.875" style="30" customWidth="1"/>
    <col min="7718" max="7719" width="4.125" style="30" customWidth="1"/>
    <col min="7720" max="7720" width="9.875" style="30" customWidth="1"/>
    <col min="7721" max="7721" width="9" style="30"/>
    <col min="7722" max="7722" width="13.75" style="30" customWidth="1"/>
    <col min="7723" max="7723" width="8.75" style="30" customWidth="1"/>
    <col min="7724" max="7726" width="4.5" style="30" customWidth="1"/>
    <col min="7727" max="7727" width="4" style="30" customWidth="1"/>
    <col min="7728" max="7728" width="3.75" style="30" customWidth="1"/>
    <col min="7729" max="7729" width="4.125" style="30" customWidth="1"/>
    <col min="7730" max="7730" width="3.75" style="30" customWidth="1"/>
    <col min="7731" max="7731" width="4.25" style="30" customWidth="1"/>
    <col min="7732" max="7732" width="4" style="30" customWidth="1"/>
    <col min="7733" max="7733" width="4.75" style="30" customWidth="1"/>
    <col min="7734" max="7936" width="9" style="30"/>
    <col min="7937" max="7937" width="5" style="30" customWidth="1"/>
    <col min="7938" max="7938" width="12.625" style="30" customWidth="1"/>
    <col min="7939" max="7939" width="12" style="30" customWidth="1"/>
    <col min="7940" max="7940" width="16.875" style="30" customWidth="1"/>
    <col min="7941" max="7942" width="4.125" style="30" customWidth="1"/>
    <col min="7943" max="7973" width="2.875" style="30" customWidth="1"/>
    <col min="7974" max="7975" width="4.125" style="30" customWidth="1"/>
    <col min="7976" max="7976" width="9.875" style="30" customWidth="1"/>
    <col min="7977" max="7977" width="9" style="30"/>
    <col min="7978" max="7978" width="13.75" style="30" customWidth="1"/>
    <col min="7979" max="7979" width="8.75" style="30" customWidth="1"/>
    <col min="7980" max="7982" width="4.5" style="30" customWidth="1"/>
    <col min="7983" max="7983" width="4" style="30" customWidth="1"/>
    <col min="7984" max="7984" width="3.75" style="30" customWidth="1"/>
    <col min="7985" max="7985" width="4.125" style="30" customWidth="1"/>
    <col min="7986" max="7986" width="3.75" style="30" customWidth="1"/>
    <col min="7987" max="7987" width="4.25" style="30" customWidth="1"/>
    <col min="7988" max="7988" width="4" style="30" customWidth="1"/>
    <col min="7989" max="7989" width="4.75" style="30" customWidth="1"/>
    <col min="7990" max="8192" width="9" style="30"/>
    <col min="8193" max="8193" width="5" style="30" customWidth="1"/>
    <col min="8194" max="8194" width="12.625" style="30" customWidth="1"/>
    <col min="8195" max="8195" width="12" style="30" customWidth="1"/>
    <col min="8196" max="8196" width="16.875" style="30" customWidth="1"/>
    <col min="8197" max="8198" width="4.125" style="30" customWidth="1"/>
    <col min="8199" max="8229" width="2.875" style="30" customWidth="1"/>
    <col min="8230" max="8231" width="4.125" style="30" customWidth="1"/>
    <col min="8232" max="8232" width="9.875" style="30" customWidth="1"/>
    <col min="8233" max="8233" width="9" style="30"/>
    <col min="8234" max="8234" width="13.75" style="30" customWidth="1"/>
    <col min="8235" max="8235" width="8.75" style="30" customWidth="1"/>
    <col min="8236" max="8238" width="4.5" style="30" customWidth="1"/>
    <col min="8239" max="8239" width="4" style="30" customWidth="1"/>
    <col min="8240" max="8240" width="3.75" style="30" customWidth="1"/>
    <col min="8241" max="8241" width="4.125" style="30" customWidth="1"/>
    <col min="8242" max="8242" width="3.75" style="30" customWidth="1"/>
    <col min="8243" max="8243" width="4.25" style="30" customWidth="1"/>
    <col min="8244" max="8244" width="4" style="30" customWidth="1"/>
    <col min="8245" max="8245" width="4.75" style="30" customWidth="1"/>
    <col min="8246" max="8448" width="9" style="30"/>
    <col min="8449" max="8449" width="5" style="30" customWidth="1"/>
    <col min="8450" max="8450" width="12.625" style="30" customWidth="1"/>
    <col min="8451" max="8451" width="12" style="30" customWidth="1"/>
    <col min="8452" max="8452" width="16.875" style="30" customWidth="1"/>
    <col min="8453" max="8454" width="4.125" style="30" customWidth="1"/>
    <col min="8455" max="8485" width="2.875" style="30" customWidth="1"/>
    <col min="8486" max="8487" width="4.125" style="30" customWidth="1"/>
    <col min="8488" max="8488" width="9.875" style="30" customWidth="1"/>
    <col min="8489" max="8489" width="9" style="30"/>
    <col min="8490" max="8490" width="13.75" style="30" customWidth="1"/>
    <col min="8491" max="8491" width="8.75" style="30" customWidth="1"/>
    <col min="8492" max="8494" width="4.5" style="30" customWidth="1"/>
    <col min="8495" max="8495" width="4" style="30" customWidth="1"/>
    <col min="8496" max="8496" width="3.75" style="30" customWidth="1"/>
    <col min="8497" max="8497" width="4.125" style="30" customWidth="1"/>
    <col min="8498" max="8498" width="3.75" style="30" customWidth="1"/>
    <col min="8499" max="8499" width="4.25" style="30" customWidth="1"/>
    <col min="8500" max="8500" width="4" style="30" customWidth="1"/>
    <col min="8501" max="8501" width="4.75" style="30" customWidth="1"/>
    <col min="8502" max="8704" width="9" style="30"/>
    <col min="8705" max="8705" width="5" style="30" customWidth="1"/>
    <col min="8706" max="8706" width="12.625" style="30" customWidth="1"/>
    <col min="8707" max="8707" width="12" style="30" customWidth="1"/>
    <col min="8708" max="8708" width="16.875" style="30" customWidth="1"/>
    <col min="8709" max="8710" width="4.125" style="30" customWidth="1"/>
    <col min="8711" max="8741" width="2.875" style="30" customWidth="1"/>
    <col min="8742" max="8743" width="4.125" style="30" customWidth="1"/>
    <col min="8744" max="8744" width="9.875" style="30" customWidth="1"/>
    <col min="8745" max="8745" width="9" style="30"/>
    <col min="8746" max="8746" width="13.75" style="30" customWidth="1"/>
    <col min="8747" max="8747" width="8.75" style="30" customWidth="1"/>
    <col min="8748" max="8750" width="4.5" style="30" customWidth="1"/>
    <col min="8751" max="8751" width="4" style="30" customWidth="1"/>
    <col min="8752" max="8752" width="3.75" style="30" customWidth="1"/>
    <col min="8753" max="8753" width="4.125" style="30" customWidth="1"/>
    <col min="8754" max="8754" width="3.75" style="30" customWidth="1"/>
    <col min="8755" max="8755" width="4.25" style="30" customWidth="1"/>
    <col min="8756" max="8756" width="4" style="30" customWidth="1"/>
    <col min="8757" max="8757" width="4.75" style="30" customWidth="1"/>
    <col min="8758" max="8960" width="9" style="30"/>
    <col min="8961" max="8961" width="5" style="30" customWidth="1"/>
    <col min="8962" max="8962" width="12.625" style="30" customWidth="1"/>
    <col min="8963" max="8963" width="12" style="30" customWidth="1"/>
    <col min="8964" max="8964" width="16.875" style="30" customWidth="1"/>
    <col min="8965" max="8966" width="4.125" style="30" customWidth="1"/>
    <col min="8967" max="8997" width="2.875" style="30" customWidth="1"/>
    <col min="8998" max="8999" width="4.125" style="30" customWidth="1"/>
    <col min="9000" max="9000" width="9.875" style="30" customWidth="1"/>
    <col min="9001" max="9001" width="9" style="30"/>
    <col min="9002" max="9002" width="13.75" style="30" customWidth="1"/>
    <col min="9003" max="9003" width="8.75" style="30" customWidth="1"/>
    <col min="9004" max="9006" width="4.5" style="30" customWidth="1"/>
    <col min="9007" max="9007" width="4" style="30" customWidth="1"/>
    <col min="9008" max="9008" width="3.75" style="30" customWidth="1"/>
    <col min="9009" max="9009" width="4.125" style="30" customWidth="1"/>
    <col min="9010" max="9010" width="3.75" style="30" customWidth="1"/>
    <col min="9011" max="9011" width="4.25" style="30" customWidth="1"/>
    <col min="9012" max="9012" width="4" style="30" customWidth="1"/>
    <col min="9013" max="9013" width="4.75" style="30" customWidth="1"/>
    <col min="9014" max="9216" width="9" style="30"/>
    <col min="9217" max="9217" width="5" style="30" customWidth="1"/>
    <col min="9218" max="9218" width="12.625" style="30" customWidth="1"/>
    <col min="9219" max="9219" width="12" style="30" customWidth="1"/>
    <col min="9220" max="9220" width="16.875" style="30" customWidth="1"/>
    <col min="9221" max="9222" width="4.125" style="30" customWidth="1"/>
    <col min="9223" max="9253" width="2.875" style="30" customWidth="1"/>
    <col min="9254" max="9255" width="4.125" style="30" customWidth="1"/>
    <col min="9256" max="9256" width="9.875" style="30" customWidth="1"/>
    <col min="9257" max="9257" width="9" style="30"/>
    <col min="9258" max="9258" width="13.75" style="30" customWidth="1"/>
    <col min="9259" max="9259" width="8.75" style="30" customWidth="1"/>
    <col min="9260" max="9262" width="4.5" style="30" customWidth="1"/>
    <col min="9263" max="9263" width="4" style="30" customWidth="1"/>
    <col min="9264" max="9264" width="3.75" style="30" customWidth="1"/>
    <col min="9265" max="9265" width="4.125" style="30" customWidth="1"/>
    <col min="9266" max="9266" width="3.75" style="30" customWidth="1"/>
    <col min="9267" max="9267" width="4.25" style="30" customWidth="1"/>
    <col min="9268" max="9268" width="4" style="30" customWidth="1"/>
    <col min="9269" max="9269" width="4.75" style="30" customWidth="1"/>
    <col min="9270" max="9472" width="9" style="30"/>
    <col min="9473" max="9473" width="5" style="30" customWidth="1"/>
    <col min="9474" max="9474" width="12.625" style="30" customWidth="1"/>
    <col min="9475" max="9475" width="12" style="30" customWidth="1"/>
    <col min="9476" max="9476" width="16.875" style="30" customWidth="1"/>
    <col min="9477" max="9478" width="4.125" style="30" customWidth="1"/>
    <col min="9479" max="9509" width="2.875" style="30" customWidth="1"/>
    <col min="9510" max="9511" width="4.125" style="30" customWidth="1"/>
    <col min="9512" max="9512" width="9.875" style="30" customWidth="1"/>
    <col min="9513" max="9513" width="9" style="30"/>
    <col min="9514" max="9514" width="13.75" style="30" customWidth="1"/>
    <col min="9515" max="9515" width="8.75" style="30" customWidth="1"/>
    <col min="9516" max="9518" width="4.5" style="30" customWidth="1"/>
    <col min="9519" max="9519" width="4" style="30" customWidth="1"/>
    <col min="9520" max="9520" width="3.75" style="30" customWidth="1"/>
    <col min="9521" max="9521" width="4.125" style="30" customWidth="1"/>
    <col min="9522" max="9522" width="3.75" style="30" customWidth="1"/>
    <col min="9523" max="9523" width="4.25" style="30" customWidth="1"/>
    <col min="9524" max="9524" width="4" style="30" customWidth="1"/>
    <col min="9525" max="9525" width="4.75" style="30" customWidth="1"/>
    <col min="9526" max="9728" width="9" style="30"/>
    <col min="9729" max="9729" width="5" style="30" customWidth="1"/>
    <col min="9730" max="9730" width="12.625" style="30" customWidth="1"/>
    <col min="9731" max="9731" width="12" style="30" customWidth="1"/>
    <col min="9732" max="9732" width="16.875" style="30" customWidth="1"/>
    <col min="9733" max="9734" width="4.125" style="30" customWidth="1"/>
    <col min="9735" max="9765" width="2.875" style="30" customWidth="1"/>
    <col min="9766" max="9767" width="4.125" style="30" customWidth="1"/>
    <col min="9768" max="9768" width="9.875" style="30" customWidth="1"/>
    <col min="9769" max="9769" width="9" style="30"/>
    <col min="9770" max="9770" width="13.75" style="30" customWidth="1"/>
    <col min="9771" max="9771" width="8.75" style="30" customWidth="1"/>
    <col min="9772" max="9774" width="4.5" style="30" customWidth="1"/>
    <col min="9775" max="9775" width="4" style="30" customWidth="1"/>
    <col min="9776" max="9776" width="3.75" style="30" customWidth="1"/>
    <col min="9777" max="9777" width="4.125" style="30" customWidth="1"/>
    <col min="9778" max="9778" width="3.75" style="30" customWidth="1"/>
    <col min="9779" max="9779" width="4.25" style="30" customWidth="1"/>
    <col min="9780" max="9780" width="4" style="30" customWidth="1"/>
    <col min="9781" max="9781" width="4.75" style="30" customWidth="1"/>
    <col min="9782" max="9984" width="9" style="30"/>
    <col min="9985" max="9985" width="5" style="30" customWidth="1"/>
    <col min="9986" max="9986" width="12.625" style="30" customWidth="1"/>
    <col min="9987" max="9987" width="12" style="30" customWidth="1"/>
    <col min="9988" max="9988" width="16.875" style="30" customWidth="1"/>
    <col min="9989" max="9990" width="4.125" style="30" customWidth="1"/>
    <col min="9991" max="10021" width="2.875" style="30" customWidth="1"/>
    <col min="10022" max="10023" width="4.125" style="30" customWidth="1"/>
    <col min="10024" max="10024" width="9.875" style="30" customWidth="1"/>
    <col min="10025" max="10025" width="9" style="30"/>
    <col min="10026" max="10026" width="13.75" style="30" customWidth="1"/>
    <col min="10027" max="10027" width="8.75" style="30" customWidth="1"/>
    <col min="10028" max="10030" width="4.5" style="30" customWidth="1"/>
    <col min="10031" max="10031" width="4" style="30" customWidth="1"/>
    <col min="10032" max="10032" width="3.75" style="30" customWidth="1"/>
    <col min="10033" max="10033" width="4.125" style="30" customWidth="1"/>
    <col min="10034" max="10034" width="3.75" style="30" customWidth="1"/>
    <col min="10035" max="10035" width="4.25" style="30" customWidth="1"/>
    <col min="10036" max="10036" width="4" style="30" customWidth="1"/>
    <col min="10037" max="10037" width="4.75" style="30" customWidth="1"/>
    <col min="10038" max="10240" width="9" style="30"/>
    <col min="10241" max="10241" width="5" style="30" customWidth="1"/>
    <col min="10242" max="10242" width="12.625" style="30" customWidth="1"/>
    <col min="10243" max="10243" width="12" style="30" customWidth="1"/>
    <col min="10244" max="10244" width="16.875" style="30" customWidth="1"/>
    <col min="10245" max="10246" width="4.125" style="30" customWidth="1"/>
    <col min="10247" max="10277" width="2.875" style="30" customWidth="1"/>
    <col min="10278" max="10279" width="4.125" style="30" customWidth="1"/>
    <col min="10280" max="10280" width="9.875" style="30" customWidth="1"/>
    <col min="10281" max="10281" width="9" style="30"/>
    <col min="10282" max="10282" width="13.75" style="30" customWidth="1"/>
    <col min="10283" max="10283" width="8.75" style="30" customWidth="1"/>
    <col min="10284" max="10286" width="4.5" style="30" customWidth="1"/>
    <col min="10287" max="10287" width="4" style="30" customWidth="1"/>
    <col min="10288" max="10288" width="3.75" style="30" customWidth="1"/>
    <col min="10289" max="10289" width="4.125" style="30" customWidth="1"/>
    <col min="10290" max="10290" width="3.75" style="30" customWidth="1"/>
    <col min="10291" max="10291" width="4.25" style="30" customWidth="1"/>
    <col min="10292" max="10292" width="4" style="30" customWidth="1"/>
    <col min="10293" max="10293" width="4.75" style="30" customWidth="1"/>
    <col min="10294" max="10496" width="9" style="30"/>
    <col min="10497" max="10497" width="5" style="30" customWidth="1"/>
    <col min="10498" max="10498" width="12.625" style="30" customWidth="1"/>
    <col min="10499" max="10499" width="12" style="30" customWidth="1"/>
    <col min="10500" max="10500" width="16.875" style="30" customWidth="1"/>
    <col min="10501" max="10502" width="4.125" style="30" customWidth="1"/>
    <col min="10503" max="10533" width="2.875" style="30" customWidth="1"/>
    <col min="10534" max="10535" width="4.125" style="30" customWidth="1"/>
    <col min="10536" max="10536" width="9.875" style="30" customWidth="1"/>
    <col min="10537" max="10537" width="9" style="30"/>
    <col min="10538" max="10538" width="13.75" style="30" customWidth="1"/>
    <col min="10539" max="10539" width="8.75" style="30" customWidth="1"/>
    <col min="10540" max="10542" width="4.5" style="30" customWidth="1"/>
    <col min="10543" max="10543" width="4" style="30" customWidth="1"/>
    <col min="10544" max="10544" width="3.75" style="30" customWidth="1"/>
    <col min="10545" max="10545" width="4.125" style="30" customWidth="1"/>
    <col min="10546" max="10546" width="3.75" style="30" customWidth="1"/>
    <col min="10547" max="10547" width="4.25" style="30" customWidth="1"/>
    <col min="10548" max="10548" width="4" style="30" customWidth="1"/>
    <col min="10549" max="10549" width="4.75" style="30" customWidth="1"/>
    <col min="10550" max="10752" width="9" style="30"/>
    <col min="10753" max="10753" width="5" style="30" customWidth="1"/>
    <col min="10754" max="10754" width="12.625" style="30" customWidth="1"/>
    <col min="10755" max="10755" width="12" style="30" customWidth="1"/>
    <col min="10756" max="10756" width="16.875" style="30" customWidth="1"/>
    <col min="10757" max="10758" width="4.125" style="30" customWidth="1"/>
    <col min="10759" max="10789" width="2.875" style="30" customWidth="1"/>
    <col min="10790" max="10791" width="4.125" style="30" customWidth="1"/>
    <col min="10792" max="10792" width="9.875" style="30" customWidth="1"/>
    <col min="10793" max="10793" width="9" style="30"/>
    <col min="10794" max="10794" width="13.75" style="30" customWidth="1"/>
    <col min="10795" max="10795" width="8.75" style="30" customWidth="1"/>
    <col min="10796" max="10798" width="4.5" style="30" customWidth="1"/>
    <col min="10799" max="10799" width="4" style="30" customWidth="1"/>
    <col min="10800" max="10800" width="3.75" style="30" customWidth="1"/>
    <col min="10801" max="10801" width="4.125" style="30" customWidth="1"/>
    <col min="10802" max="10802" width="3.75" style="30" customWidth="1"/>
    <col min="10803" max="10803" width="4.25" style="30" customWidth="1"/>
    <col min="10804" max="10804" width="4" style="30" customWidth="1"/>
    <col min="10805" max="10805" width="4.75" style="30" customWidth="1"/>
    <col min="10806" max="11008" width="9" style="30"/>
    <col min="11009" max="11009" width="5" style="30" customWidth="1"/>
    <col min="11010" max="11010" width="12.625" style="30" customWidth="1"/>
    <col min="11011" max="11011" width="12" style="30" customWidth="1"/>
    <col min="11012" max="11012" width="16.875" style="30" customWidth="1"/>
    <col min="11013" max="11014" width="4.125" style="30" customWidth="1"/>
    <col min="11015" max="11045" width="2.875" style="30" customWidth="1"/>
    <col min="11046" max="11047" width="4.125" style="30" customWidth="1"/>
    <col min="11048" max="11048" width="9.875" style="30" customWidth="1"/>
    <col min="11049" max="11049" width="9" style="30"/>
    <col min="11050" max="11050" width="13.75" style="30" customWidth="1"/>
    <col min="11051" max="11051" width="8.75" style="30" customWidth="1"/>
    <col min="11052" max="11054" width="4.5" style="30" customWidth="1"/>
    <col min="11055" max="11055" width="4" style="30" customWidth="1"/>
    <col min="11056" max="11056" width="3.75" style="30" customWidth="1"/>
    <col min="11057" max="11057" width="4.125" style="30" customWidth="1"/>
    <col min="11058" max="11058" width="3.75" style="30" customWidth="1"/>
    <col min="11059" max="11059" width="4.25" style="30" customWidth="1"/>
    <col min="11060" max="11060" width="4" style="30" customWidth="1"/>
    <col min="11061" max="11061" width="4.75" style="30" customWidth="1"/>
    <col min="11062" max="11264" width="9" style="30"/>
    <col min="11265" max="11265" width="5" style="30" customWidth="1"/>
    <col min="11266" max="11266" width="12.625" style="30" customWidth="1"/>
    <col min="11267" max="11267" width="12" style="30" customWidth="1"/>
    <col min="11268" max="11268" width="16.875" style="30" customWidth="1"/>
    <col min="11269" max="11270" width="4.125" style="30" customWidth="1"/>
    <col min="11271" max="11301" width="2.875" style="30" customWidth="1"/>
    <col min="11302" max="11303" width="4.125" style="30" customWidth="1"/>
    <col min="11304" max="11304" width="9.875" style="30" customWidth="1"/>
    <col min="11305" max="11305" width="9" style="30"/>
    <col min="11306" max="11306" width="13.75" style="30" customWidth="1"/>
    <col min="11307" max="11307" width="8.75" style="30" customWidth="1"/>
    <col min="11308" max="11310" width="4.5" style="30" customWidth="1"/>
    <col min="11311" max="11311" width="4" style="30" customWidth="1"/>
    <col min="11312" max="11312" width="3.75" style="30" customWidth="1"/>
    <col min="11313" max="11313" width="4.125" style="30" customWidth="1"/>
    <col min="11314" max="11314" width="3.75" style="30" customWidth="1"/>
    <col min="11315" max="11315" width="4.25" style="30" customWidth="1"/>
    <col min="11316" max="11316" width="4" style="30" customWidth="1"/>
    <col min="11317" max="11317" width="4.75" style="30" customWidth="1"/>
    <col min="11318" max="11520" width="9" style="30"/>
    <col min="11521" max="11521" width="5" style="30" customWidth="1"/>
    <col min="11522" max="11522" width="12.625" style="30" customWidth="1"/>
    <col min="11523" max="11523" width="12" style="30" customWidth="1"/>
    <col min="11524" max="11524" width="16.875" style="30" customWidth="1"/>
    <col min="11525" max="11526" width="4.125" style="30" customWidth="1"/>
    <col min="11527" max="11557" width="2.875" style="30" customWidth="1"/>
    <col min="11558" max="11559" width="4.125" style="30" customWidth="1"/>
    <col min="11560" max="11560" width="9.875" style="30" customWidth="1"/>
    <col min="11561" max="11561" width="9" style="30"/>
    <col min="11562" max="11562" width="13.75" style="30" customWidth="1"/>
    <col min="11563" max="11563" width="8.75" style="30" customWidth="1"/>
    <col min="11564" max="11566" width="4.5" style="30" customWidth="1"/>
    <col min="11567" max="11567" width="4" style="30" customWidth="1"/>
    <col min="11568" max="11568" width="3.75" style="30" customWidth="1"/>
    <col min="11569" max="11569" width="4.125" style="30" customWidth="1"/>
    <col min="11570" max="11570" width="3.75" style="30" customWidth="1"/>
    <col min="11571" max="11571" width="4.25" style="30" customWidth="1"/>
    <col min="11572" max="11572" width="4" style="30" customWidth="1"/>
    <col min="11573" max="11573" width="4.75" style="30" customWidth="1"/>
    <col min="11574" max="11776" width="9" style="30"/>
    <col min="11777" max="11777" width="5" style="30" customWidth="1"/>
    <col min="11778" max="11778" width="12.625" style="30" customWidth="1"/>
    <col min="11779" max="11779" width="12" style="30" customWidth="1"/>
    <col min="11780" max="11780" width="16.875" style="30" customWidth="1"/>
    <col min="11781" max="11782" width="4.125" style="30" customWidth="1"/>
    <col min="11783" max="11813" width="2.875" style="30" customWidth="1"/>
    <col min="11814" max="11815" width="4.125" style="30" customWidth="1"/>
    <col min="11816" max="11816" width="9.875" style="30" customWidth="1"/>
    <col min="11817" max="11817" width="9" style="30"/>
    <col min="11818" max="11818" width="13.75" style="30" customWidth="1"/>
    <col min="11819" max="11819" width="8.75" style="30" customWidth="1"/>
    <col min="11820" max="11822" width="4.5" style="30" customWidth="1"/>
    <col min="11823" max="11823" width="4" style="30" customWidth="1"/>
    <col min="11824" max="11824" width="3.75" style="30" customWidth="1"/>
    <col min="11825" max="11825" width="4.125" style="30" customWidth="1"/>
    <col min="11826" max="11826" width="3.75" style="30" customWidth="1"/>
    <col min="11827" max="11827" width="4.25" style="30" customWidth="1"/>
    <col min="11828" max="11828" width="4" style="30" customWidth="1"/>
    <col min="11829" max="11829" width="4.75" style="30" customWidth="1"/>
    <col min="11830" max="12032" width="9" style="30"/>
    <col min="12033" max="12033" width="5" style="30" customWidth="1"/>
    <col min="12034" max="12034" width="12.625" style="30" customWidth="1"/>
    <col min="12035" max="12035" width="12" style="30" customWidth="1"/>
    <col min="12036" max="12036" width="16.875" style="30" customWidth="1"/>
    <col min="12037" max="12038" width="4.125" style="30" customWidth="1"/>
    <col min="12039" max="12069" width="2.875" style="30" customWidth="1"/>
    <col min="12070" max="12071" width="4.125" style="30" customWidth="1"/>
    <col min="12072" max="12072" width="9.875" style="30" customWidth="1"/>
    <col min="12073" max="12073" width="9" style="30"/>
    <col min="12074" max="12074" width="13.75" style="30" customWidth="1"/>
    <col min="12075" max="12075" width="8.75" style="30" customWidth="1"/>
    <col min="12076" max="12078" width="4.5" style="30" customWidth="1"/>
    <col min="12079" max="12079" width="4" style="30" customWidth="1"/>
    <col min="12080" max="12080" width="3.75" style="30" customWidth="1"/>
    <col min="12081" max="12081" width="4.125" style="30" customWidth="1"/>
    <col min="12082" max="12082" width="3.75" style="30" customWidth="1"/>
    <col min="12083" max="12083" width="4.25" style="30" customWidth="1"/>
    <col min="12084" max="12084" width="4" style="30" customWidth="1"/>
    <col min="12085" max="12085" width="4.75" style="30" customWidth="1"/>
    <col min="12086" max="12288" width="9" style="30"/>
    <col min="12289" max="12289" width="5" style="30" customWidth="1"/>
    <col min="12290" max="12290" width="12.625" style="30" customWidth="1"/>
    <col min="12291" max="12291" width="12" style="30" customWidth="1"/>
    <col min="12292" max="12292" width="16.875" style="30" customWidth="1"/>
    <col min="12293" max="12294" width="4.125" style="30" customWidth="1"/>
    <col min="12295" max="12325" width="2.875" style="30" customWidth="1"/>
    <col min="12326" max="12327" width="4.125" style="30" customWidth="1"/>
    <col min="12328" max="12328" width="9.875" style="30" customWidth="1"/>
    <col min="12329" max="12329" width="9" style="30"/>
    <col min="12330" max="12330" width="13.75" style="30" customWidth="1"/>
    <col min="12331" max="12331" width="8.75" style="30" customWidth="1"/>
    <col min="12332" max="12334" width="4.5" style="30" customWidth="1"/>
    <col min="12335" max="12335" width="4" style="30" customWidth="1"/>
    <col min="12336" max="12336" width="3.75" style="30" customWidth="1"/>
    <col min="12337" max="12337" width="4.125" style="30" customWidth="1"/>
    <col min="12338" max="12338" width="3.75" style="30" customWidth="1"/>
    <col min="12339" max="12339" width="4.25" style="30" customWidth="1"/>
    <col min="12340" max="12340" width="4" style="30" customWidth="1"/>
    <col min="12341" max="12341" width="4.75" style="30" customWidth="1"/>
    <col min="12342" max="12544" width="9" style="30"/>
    <col min="12545" max="12545" width="5" style="30" customWidth="1"/>
    <col min="12546" max="12546" width="12.625" style="30" customWidth="1"/>
    <col min="12547" max="12547" width="12" style="30" customWidth="1"/>
    <col min="12548" max="12548" width="16.875" style="30" customWidth="1"/>
    <col min="12549" max="12550" width="4.125" style="30" customWidth="1"/>
    <col min="12551" max="12581" width="2.875" style="30" customWidth="1"/>
    <col min="12582" max="12583" width="4.125" style="30" customWidth="1"/>
    <col min="12584" max="12584" width="9.875" style="30" customWidth="1"/>
    <col min="12585" max="12585" width="9" style="30"/>
    <col min="12586" max="12586" width="13.75" style="30" customWidth="1"/>
    <col min="12587" max="12587" width="8.75" style="30" customWidth="1"/>
    <col min="12588" max="12590" width="4.5" style="30" customWidth="1"/>
    <col min="12591" max="12591" width="4" style="30" customWidth="1"/>
    <col min="12592" max="12592" width="3.75" style="30" customWidth="1"/>
    <col min="12593" max="12593" width="4.125" style="30" customWidth="1"/>
    <col min="12594" max="12594" width="3.75" style="30" customWidth="1"/>
    <col min="12595" max="12595" width="4.25" style="30" customWidth="1"/>
    <col min="12596" max="12596" width="4" style="30" customWidth="1"/>
    <col min="12597" max="12597" width="4.75" style="30" customWidth="1"/>
    <col min="12598" max="12800" width="9" style="30"/>
    <col min="12801" max="12801" width="5" style="30" customWidth="1"/>
    <col min="12802" max="12802" width="12.625" style="30" customWidth="1"/>
    <col min="12803" max="12803" width="12" style="30" customWidth="1"/>
    <col min="12804" max="12804" width="16.875" style="30" customWidth="1"/>
    <col min="12805" max="12806" width="4.125" style="30" customWidth="1"/>
    <col min="12807" max="12837" width="2.875" style="30" customWidth="1"/>
    <col min="12838" max="12839" width="4.125" style="30" customWidth="1"/>
    <col min="12840" max="12840" width="9.875" style="30" customWidth="1"/>
    <col min="12841" max="12841" width="9" style="30"/>
    <col min="12842" max="12842" width="13.75" style="30" customWidth="1"/>
    <col min="12843" max="12843" width="8.75" style="30" customWidth="1"/>
    <col min="12844" max="12846" width="4.5" style="30" customWidth="1"/>
    <col min="12847" max="12847" width="4" style="30" customWidth="1"/>
    <col min="12848" max="12848" width="3.75" style="30" customWidth="1"/>
    <col min="12849" max="12849" width="4.125" style="30" customWidth="1"/>
    <col min="12850" max="12850" width="3.75" style="30" customWidth="1"/>
    <col min="12851" max="12851" width="4.25" style="30" customWidth="1"/>
    <col min="12852" max="12852" width="4" style="30" customWidth="1"/>
    <col min="12853" max="12853" width="4.75" style="30" customWidth="1"/>
    <col min="12854" max="13056" width="9" style="30"/>
    <col min="13057" max="13057" width="5" style="30" customWidth="1"/>
    <col min="13058" max="13058" width="12.625" style="30" customWidth="1"/>
    <col min="13059" max="13059" width="12" style="30" customWidth="1"/>
    <col min="13060" max="13060" width="16.875" style="30" customWidth="1"/>
    <col min="13061" max="13062" width="4.125" style="30" customWidth="1"/>
    <col min="13063" max="13093" width="2.875" style="30" customWidth="1"/>
    <col min="13094" max="13095" width="4.125" style="30" customWidth="1"/>
    <col min="13096" max="13096" width="9.875" style="30" customWidth="1"/>
    <col min="13097" max="13097" width="9" style="30"/>
    <col min="13098" max="13098" width="13.75" style="30" customWidth="1"/>
    <col min="13099" max="13099" width="8.75" style="30" customWidth="1"/>
    <col min="13100" max="13102" width="4.5" style="30" customWidth="1"/>
    <col min="13103" max="13103" width="4" style="30" customWidth="1"/>
    <col min="13104" max="13104" width="3.75" style="30" customWidth="1"/>
    <col min="13105" max="13105" width="4.125" style="30" customWidth="1"/>
    <col min="13106" max="13106" width="3.75" style="30" customWidth="1"/>
    <col min="13107" max="13107" width="4.25" style="30" customWidth="1"/>
    <col min="13108" max="13108" width="4" style="30" customWidth="1"/>
    <col min="13109" max="13109" width="4.75" style="30" customWidth="1"/>
    <col min="13110" max="13312" width="9" style="30"/>
    <col min="13313" max="13313" width="5" style="30" customWidth="1"/>
    <col min="13314" max="13314" width="12.625" style="30" customWidth="1"/>
    <col min="13315" max="13315" width="12" style="30" customWidth="1"/>
    <col min="13316" max="13316" width="16.875" style="30" customWidth="1"/>
    <col min="13317" max="13318" width="4.125" style="30" customWidth="1"/>
    <col min="13319" max="13349" width="2.875" style="30" customWidth="1"/>
    <col min="13350" max="13351" width="4.125" style="30" customWidth="1"/>
    <col min="13352" max="13352" width="9.875" style="30" customWidth="1"/>
    <col min="13353" max="13353" width="9" style="30"/>
    <col min="13354" max="13354" width="13.75" style="30" customWidth="1"/>
    <col min="13355" max="13355" width="8.75" style="30" customWidth="1"/>
    <col min="13356" max="13358" width="4.5" style="30" customWidth="1"/>
    <col min="13359" max="13359" width="4" style="30" customWidth="1"/>
    <col min="13360" max="13360" width="3.75" style="30" customWidth="1"/>
    <col min="13361" max="13361" width="4.125" style="30" customWidth="1"/>
    <col min="13362" max="13362" width="3.75" style="30" customWidth="1"/>
    <col min="13363" max="13363" width="4.25" style="30" customWidth="1"/>
    <col min="13364" max="13364" width="4" style="30" customWidth="1"/>
    <col min="13365" max="13365" width="4.75" style="30" customWidth="1"/>
    <col min="13366" max="13568" width="9" style="30"/>
    <col min="13569" max="13569" width="5" style="30" customWidth="1"/>
    <col min="13570" max="13570" width="12.625" style="30" customWidth="1"/>
    <col min="13571" max="13571" width="12" style="30" customWidth="1"/>
    <col min="13572" max="13572" width="16.875" style="30" customWidth="1"/>
    <col min="13573" max="13574" width="4.125" style="30" customWidth="1"/>
    <col min="13575" max="13605" width="2.875" style="30" customWidth="1"/>
    <col min="13606" max="13607" width="4.125" style="30" customWidth="1"/>
    <col min="13608" max="13608" width="9.875" style="30" customWidth="1"/>
    <col min="13609" max="13609" width="9" style="30"/>
    <col min="13610" max="13610" width="13.75" style="30" customWidth="1"/>
    <col min="13611" max="13611" width="8.75" style="30" customWidth="1"/>
    <col min="13612" max="13614" width="4.5" style="30" customWidth="1"/>
    <col min="13615" max="13615" width="4" style="30" customWidth="1"/>
    <col min="13616" max="13616" width="3.75" style="30" customWidth="1"/>
    <col min="13617" max="13617" width="4.125" style="30" customWidth="1"/>
    <col min="13618" max="13618" width="3.75" style="30" customWidth="1"/>
    <col min="13619" max="13619" width="4.25" style="30" customWidth="1"/>
    <col min="13620" max="13620" width="4" style="30" customWidth="1"/>
    <col min="13621" max="13621" width="4.75" style="30" customWidth="1"/>
    <col min="13622" max="13824" width="9" style="30"/>
    <col min="13825" max="13825" width="5" style="30" customWidth="1"/>
    <col min="13826" max="13826" width="12.625" style="30" customWidth="1"/>
    <col min="13827" max="13827" width="12" style="30" customWidth="1"/>
    <col min="13828" max="13828" width="16.875" style="30" customWidth="1"/>
    <col min="13829" max="13830" width="4.125" style="30" customWidth="1"/>
    <col min="13831" max="13861" width="2.875" style="30" customWidth="1"/>
    <col min="13862" max="13863" width="4.125" style="30" customWidth="1"/>
    <col min="13864" max="13864" width="9.875" style="30" customWidth="1"/>
    <col min="13865" max="13865" width="9" style="30"/>
    <col min="13866" max="13866" width="13.75" style="30" customWidth="1"/>
    <col min="13867" max="13867" width="8.75" style="30" customWidth="1"/>
    <col min="13868" max="13870" width="4.5" style="30" customWidth="1"/>
    <col min="13871" max="13871" width="4" style="30" customWidth="1"/>
    <col min="13872" max="13872" width="3.75" style="30" customWidth="1"/>
    <col min="13873" max="13873" width="4.125" style="30" customWidth="1"/>
    <col min="13874" max="13874" width="3.75" style="30" customWidth="1"/>
    <col min="13875" max="13875" width="4.25" style="30" customWidth="1"/>
    <col min="13876" max="13876" width="4" style="30" customWidth="1"/>
    <col min="13877" max="13877" width="4.75" style="30" customWidth="1"/>
    <col min="13878" max="14080" width="9" style="30"/>
    <col min="14081" max="14081" width="5" style="30" customWidth="1"/>
    <col min="14082" max="14082" width="12.625" style="30" customWidth="1"/>
    <col min="14083" max="14083" width="12" style="30" customWidth="1"/>
    <col min="14084" max="14084" width="16.875" style="30" customWidth="1"/>
    <col min="14085" max="14086" width="4.125" style="30" customWidth="1"/>
    <col min="14087" max="14117" width="2.875" style="30" customWidth="1"/>
    <col min="14118" max="14119" width="4.125" style="30" customWidth="1"/>
    <col min="14120" max="14120" width="9.875" style="30" customWidth="1"/>
    <col min="14121" max="14121" width="9" style="30"/>
    <col min="14122" max="14122" width="13.75" style="30" customWidth="1"/>
    <col min="14123" max="14123" width="8.75" style="30" customWidth="1"/>
    <col min="14124" max="14126" width="4.5" style="30" customWidth="1"/>
    <col min="14127" max="14127" width="4" style="30" customWidth="1"/>
    <col min="14128" max="14128" width="3.75" style="30" customWidth="1"/>
    <col min="14129" max="14129" width="4.125" style="30" customWidth="1"/>
    <col min="14130" max="14130" width="3.75" style="30" customWidth="1"/>
    <col min="14131" max="14131" width="4.25" style="30" customWidth="1"/>
    <col min="14132" max="14132" width="4" style="30" customWidth="1"/>
    <col min="14133" max="14133" width="4.75" style="30" customWidth="1"/>
    <col min="14134" max="14336" width="9" style="30"/>
    <col min="14337" max="14337" width="5" style="30" customWidth="1"/>
    <col min="14338" max="14338" width="12.625" style="30" customWidth="1"/>
    <col min="14339" max="14339" width="12" style="30" customWidth="1"/>
    <col min="14340" max="14340" width="16.875" style="30" customWidth="1"/>
    <col min="14341" max="14342" width="4.125" style="30" customWidth="1"/>
    <col min="14343" max="14373" width="2.875" style="30" customWidth="1"/>
    <col min="14374" max="14375" width="4.125" style="30" customWidth="1"/>
    <col min="14376" max="14376" width="9.875" style="30" customWidth="1"/>
    <col min="14377" max="14377" width="9" style="30"/>
    <col min="14378" max="14378" width="13.75" style="30" customWidth="1"/>
    <col min="14379" max="14379" width="8.75" style="30" customWidth="1"/>
    <col min="14380" max="14382" width="4.5" style="30" customWidth="1"/>
    <col min="14383" max="14383" width="4" style="30" customWidth="1"/>
    <col min="14384" max="14384" width="3.75" style="30" customWidth="1"/>
    <col min="14385" max="14385" width="4.125" style="30" customWidth="1"/>
    <col min="14386" max="14386" width="3.75" style="30" customWidth="1"/>
    <col min="14387" max="14387" width="4.25" style="30" customWidth="1"/>
    <col min="14388" max="14388" width="4" style="30" customWidth="1"/>
    <col min="14389" max="14389" width="4.75" style="30" customWidth="1"/>
    <col min="14390" max="14592" width="9" style="30"/>
    <col min="14593" max="14593" width="5" style="30" customWidth="1"/>
    <col min="14594" max="14594" width="12.625" style="30" customWidth="1"/>
    <col min="14595" max="14595" width="12" style="30" customWidth="1"/>
    <col min="14596" max="14596" width="16.875" style="30" customWidth="1"/>
    <col min="14597" max="14598" width="4.125" style="30" customWidth="1"/>
    <col min="14599" max="14629" width="2.875" style="30" customWidth="1"/>
    <col min="14630" max="14631" width="4.125" style="30" customWidth="1"/>
    <col min="14632" max="14632" width="9.875" style="30" customWidth="1"/>
    <col min="14633" max="14633" width="9" style="30"/>
    <col min="14634" max="14634" width="13.75" style="30" customWidth="1"/>
    <col min="14635" max="14635" width="8.75" style="30" customWidth="1"/>
    <col min="14636" max="14638" width="4.5" style="30" customWidth="1"/>
    <col min="14639" max="14639" width="4" style="30" customWidth="1"/>
    <col min="14640" max="14640" width="3.75" style="30" customWidth="1"/>
    <col min="14641" max="14641" width="4.125" style="30" customWidth="1"/>
    <col min="14642" max="14642" width="3.75" style="30" customWidth="1"/>
    <col min="14643" max="14643" width="4.25" style="30" customWidth="1"/>
    <col min="14644" max="14644" width="4" style="30" customWidth="1"/>
    <col min="14645" max="14645" width="4.75" style="30" customWidth="1"/>
    <col min="14646" max="14848" width="9" style="30"/>
    <col min="14849" max="14849" width="5" style="30" customWidth="1"/>
    <col min="14850" max="14850" width="12.625" style="30" customWidth="1"/>
    <col min="14851" max="14851" width="12" style="30" customWidth="1"/>
    <col min="14852" max="14852" width="16.875" style="30" customWidth="1"/>
    <col min="14853" max="14854" width="4.125" style="30" customWidth="1"/>
    <col min="14855" max="14885" width="2.875" style="30" customWidth="1"/>
    <col min="14886" max="14887" width="4.125" style="30" customWidth="1"/>
    <col min="14888" max="14888" width="9.875" style="30" customWidth="1"/>
    <col min="14889" max="14889" width="9" style="30"/>
    <col min="14890" max="14890" width="13.75" style="30" customWidth="1"/>
    <col min="14891" max="14891" width="8.75" style="30" customWidth="1"/>
    <col min="14892" max="14894" width="4.5" style="30" customWidth="1"/>
    <col min="14895" max="14895" width="4" style="30" customWidth="1"/>
    <col min="14896" max="14896" width="3.75" style="30" customWidth="1"/>
    <col min="14897" max="14897" width="4.125" style="30" customWidth="1"/>
    <col min="14898" max="14898" width="3.75" style="30" customWidth="1"/>
    <col min="14899" max="14899" width="4.25" style="30" customWidth="1"/>
    <col min="14900" max="14900" width="4" style="30" customWidth="1"/>
    <col min="14901" max="14901" width="4.75" style="30" customWidth="1"/>
    <col min="14902" max="15104" width="9" style="30"/>
    <col min="15105" max="15105" width="5" style="30" customWidth="1"/>
    <col min="15106" max="15106" width="12.625" style="30" customWidth="1"/>
    <col min="15107" max="15107" width="12" style="30" customWidth="1"/>
    <col min="15108" max="15108" width="16.875" style="30" customWidth="1"/>
    <col min="15109" max="15110" width="4.125" style="30" customWidth="1"/>
    <col min="15111" max="15141" width="2.875" style="30" customWidth="1"/>
    <col min="15142" max="15143" width="4.125" style="30" customWidth="1"/>
    <col min="15144" max="15144" width="9.875" style="30" customWidth="1"/>
    <col min="15145" max="15145" width="9" style="30"/>
    <col min="15146" max="15146" width="13.75" style="30" customWidth="1"/>
    <col min="15147" max="15147" width="8.75" style="30" customWidth="1"/>
    <col min="15148" max="15150" width="4.5" style="30" customWidth="1"/>
    <col min="15151" max="15151" width="4" style="30" customWidth="1"/>
    <col min="15152" max="15152" width="3.75" style="30" customWidth="1"/>
    <col min="15153" max="15153" width="4.125" style="30" customWidth="1"/>
    <col min="15154" max="15154" width="3.75" style="30" customWidth="1"/>
    <col min="15155" max="15155" width="4.25" style="30" customWidth="1"/>
    <col min="15156" max="15156" width="4" style="30" customWidth="1"/>
    <col min="15157" max="15157" width="4.75" style="30" customWidth="1"/>
    <col min="15158" max="15360" width="9" style="30"/>
    <col min="15361" max="15361" width="5" style="30" customWidth="1"/>
    <col min="15362" max="15362" width="12.625" style="30" customWidth="1"/>
    <col min="15363" max="15363" width="12" style="30" customWidth="1"/>
    <col min="15364" max="15364" width="16.875" style="30" customWidth="1"/>
    <col min="15365" max="15366" width="4.125" style="30" customWidth="1"/>
    <col min="15367" max="15397" width="2.875" style="30" customWidth="1"/>
    <col min="15398" max="15399" width="4.125" style="30" customWidth="1"/>
    <col min="15400" max="15400" width="9.875" style="30" customWidth="1"/>
    <col min="15401" max="15401" width="9" style="30"/>
    <col min="15402" max="15402" width="13.75" style="30" customWidth="1"/>
    <col min="15403" max="15403" width="8.75" style="30" customWidth="1"/>
    <col min="15404" max="15406" width="4.5" style="30" customWidth="1"/>
    <col min="15407" max="15407" width="4" style="30" customWidth="1"/>
    <col min="15408" max="15408" width="3.75" style="30" customWidth="1"/>
    <col min="15409" max="15409" width="4.125" style="30" customWidth="1"/>
    <col min="15410" max="15410" width="3.75" style="30" customWidth="1"/>
    <col min="15411" max="15411" width="4.25" style="30" customWidth="1"/>
    <col min="15412" max="15412" width="4" style="30" customWidth="1"/>
    <col min="15413" max="15413" width="4.75" style="30" customWidth="1"/>
    <col min="15414" max="15616" width="9" style="30"/>
    <col min="15617" max="15617" width="5" style="30" customWidth="1"/>
    <col min="15618" max="15618" width="12.625" style="30" customWidth="1"/>
    <col min="15619" max="15619" width="12" style="30" customWidth="1"/>
    <col min="15620" max="15620" width="16.875" style="30" customWidth="1"/>
    <col min="15621" max="15622" width="4.125" style="30" customWidth="1"/>
    <col min="15623" max="15653" width="2.875" style="30" customWidth="1"/>
    <col min="15654" max="15655" width="4.125" style="30" customWidth="1"/>
    <col min="15656" max="15656" width="9.875" style="30" customWidth="1"/>
    <col min="15657" max="15657" width="9" style="30"/>
    <col min="15658" max="15658" width="13.75" style="30" customWidth="1"/>
    <col min="15659" max="15659" width="8.75" style="30" customWidth="1"/>
    <col min="15660" max="15662" width="4.5" style="30" customWidth="1"/>
    <col min="15663" max="15663" width="4" style="30" customWidth="1"/>
    <col min="15664" max="15664" width="3.75" style="30" customWidth="1"/>
    <col min="15665" max="15665" width="4.125" style="30" customWidth="1"/>
    <col min="15666" max="15666" width="3.75" style="30" customWidth="1"/>
    <col min="15667" max="15667" width="4.25" style="30" customWidth="1"/>
    <col min="15668" max="15668" width="4" style="30" customWidth="1"/>
    <col min="15669" max="15669" width="4.75" style="30" customWidth="1"/>
    <col min="15670" max="15872" width="9" style="30"/>
    <col min="15873" max="15873" width="5" style="30" customWidth="1"/>
    <col min="15874" max="15874" width="12.625" style="30" customWidth="1"/>
    <col min="15875" max="15875" width="12" style="30" customWidth="1"/>
    <col min="15876" max="15876" width="16.875" style="30" customWidth="1"/>
    <col min="15877" max="15878" width="4.125" style="30" customWidth="1"/>
    <col min="15879" max="15909" width="2.875" style="30" customWidth="1"/>
    <col min="15910" max="15911" width="4.125" style="30" customWidth="1"/>
    <col min="15912" max="15912" width="9.875" style="30" customWidth="1"/>
    <col min="15913" max="15913" width="9" style="30"/>
    <col min="15914" max="15914" width="13.75" style="30" customWidth="1"/>
    <col min="15915" max="15915" width="8.75" style="30" customWidth="1"/>
    <col min="15916" max="15918" width="4.5" style="30" customWidth="1"/>
    <col min="15919" max="15919" width="4" style="30" customWidth="1"/>
    <col min="15920" max="15920" width="3.75" style="30" customWidth="1"/>
    <col min="15921" max="15921" width="4.125" style="30" customWidth="1"/>
    <col min="15922" max="15922" width="3.75" style="30" customWidth="1"/>
    <col min="15923" max="15923" width="4.25" style="30" customWidth="1"/>
    <col min="15924" max="15924" width="4" style="30" customWidth="1"/>
    <col min="15925" max="15925" width="4.75" style="30" customWidth="1"/>
    <col min="15926" max="16128" width="9" style="30"/>
    <col min="16129" max="16129" width="5" style="30" customWidth="1"/>
    <col min="16130" max="16130" width="12.625" style="30" customWidth="1"/>
    <col min="16131" max="16131" width="12" style="30" customWidth="1"/>
    <col min="16132" max="16132" width="16.875" style="30" customWidth="1"/>
    <col min="16133" max="16134" width="4.125" style="30" customWidth="1"/>
    <col min="16135" max="16165" width="2.875" style="30" customWidth="1"/>
    <col min="16166" max="16167" width="4.125" style="30" customWidth="1"/>
    <col min="16168" max="16168" width="9.875" style="30" customWidth="1"/>
    <col min="16169" max="16169" width="9" style="30"/>
    <col min="16170" max="16170" width="13.75" style="30" customWidth="1"/>
    <col min="16171" max="16171" width="8.75" style="30" customWidth="1"/>
    <col min="16172" max="16174" width="4.5" style="30" customWidth="1"/>
    <col min="16175" max="16175" width="4" style="30" customWidth="1"/>
    <col min="16176" max="16176" width="3.75" style="30" customWidth="1"/>
    <col min="16177" max="16177" width="4.125" style="30" customWidth="1"/>
    <col min="16178" max="16178" width="3.75" style="30" customWidth="1"/>
    <col min="16179" max="16179" width="4.25" style="30" customWidth="1"/>
    <col min="16180" max="16180" width="4" style="30" customWidth="1"/>
    <col min="16181" max="16181" width="4.75" style="30" customWidth="1"/>
    <col min="16182" max="16384" width="9" style="30"/>
  </cols>
  <sheetData>
    <row r="1" spans="1:54" ht="30" customHeight="1" x14ac:dyDescent="0.45">
      <c r="A1" s="254" t="s">
        <v>97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X1" s="255" t="s">
        <v>33</v>
      </c>
      <c r="AY1" s="255"/>
      <c r="AZ1" s="255"/>
      <c r="BA1" s="255"/>
    </row>
    <row r="2" spans="1:54" s="31" customFormat="1" ht="20.45" customHeight="1" x14ac:dyDescent="0.5">
      <c r="A2" s="248" t="s">
        <v>119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R2" s="30"/>
      <c r="AS2" s="30"/>
      <c r="AT2" s="30"/>
      <c r="AU2" s="30"/>
      <c r="AV2" s="30"/>
      <c r="AW2" s="30"/>
      <c r="AX2" s="32" t="s">
        <v>35</v>
      </c>
      <c r="AY2" s="32" t="s">
        <v>16</v>
      </c>
      <c r="AZ2" s="32" t="s">
        <v>36</v>
      </c>
      <c r="BA2" s="32" t="s">
        <v>14</v>
      </c>
    </row>
    <row r="3" spans="1:54" ht="20.45" customHeight="1" x14ac:dyDescent="0.45">
      <c r="A3" s="256" t="s">
        <v>37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X3" s="33">
        <f>AX14</f>
        <v>2</v>
      </c>
      <c r="AY3" s="33">
        <f>AY14</f>
        <v>5</v>
      </c>
      <c r="AZ3" s="33">
        <f>AZ14</f>
        <v>4</v>
      </c>
      <c r="BA3" s="33">
        <f>BA14</f>
        <v>0</v>
      </c>
    </row>
    <row r="4" spans="1:54" s="35" customFormat="1" ht="20.45" customHeight="1" x14ac:dyDescent="0.2">
      <c r="A4" s="222" t="s">
        <v>38</v>
      </c>
      <c r="B4" s="236" t="s">
        <v>39</v>
      </c>
      <c r="C4" s="237"/>
      <c r="D4" s="169" t="s">
        <v>2</v>
      </c>
      <c r="E4" s="281" t="s">
        <v>40</v>
      </c>
      <c r="F4" s="282"/>
      <c r="G4" s="257" t="s">
        <v>41</v>
      </c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96" t="s">
        <v>42</v>
      </c>
      <c r="AM4" s="167" t="s">
        <v>43</v>
      </c>
      <c r="AN4" s="167" t="s">
        <v>43</v>
      </c>
      <c r="AO4" s="167" t="s">
        <v>44</v>
      </c>
      <c r="AP4" s="167" t="s">
        <v>45</v>
      </c>
      <c r="AR4" s="36" t="s">
        <v>35</v>
      </c>
      <c r="AS4" s="36" t="s">
        <v>46</v>
      </c>
      <c r="AT4" s="36" t="s">
        <v>16</v>
      </c>
      <c r="AU4" s="36" t="s">
        <v>47</v>
      </c>
      <c r="AV4" s="36" t="s">
        <v>36</v>
      </c>
      <c r="AW4" s="37" t="s">
        <v>14</v>
      </c>
      <c r="AX4" s="260" t="s">
        <v>48</v>
      </c>
      <c r="AY4" s="261"/>
      <c r="AZ4" s="261"/>
      <c r="BA4" s="262"/>
    </row>
    <row r="5" spans="1:54" s="35" customFormat="1" ht="20.45" customHeight="1" x14ac:dyDescent="0.2">
      <c r="A5" s="224"/>
      <c r="B5" s="170"/>
      <c r="C5" s="38"/>
      <c r="D5" s="171"/>
      <c r="E5" s="283" t="s">
        <v>116</v>
      </c>
      <c r="F5" s="284"/>
      <c r="G5" s="39">
        <v>1</v>
      </c>
      <c r="H5" s="40">
        <v>2</v>
      </c>
      <c r="I5" s="41">
        <v>3</v>
      </c>
      <c r="J5" s="41">
        <v>4</v>
      </c>
      <c r="K5" s="42">
        <v>5</v>
      </c>
      <c r="L5" s="127">
        <v>6</v>
      </c>
      <c r="M5" s="128">
        <v>7</v>
      </c>
      <c r="N5" s="44">
        <v>8</v>
      </c>
      <c r="O5" s="43">
        <v>9</v>
      </c>
      <c r="P5" s="45">
        <v>10</v>
      </c>
      <c r="Q5" s="44">
        <v>11</v>
      </c>
      <c r="R5" s="43">
        <v>12</v>
      </c>
      <c r="S5" s="135">
        <v>13</v>
      </c>
      <c r="T5" s="127">
        <v>14</v>
      </c>
      <c r="U5" s="43">
        <v>15</v>
      </c>
      <c r="V5" s="43">
        <v>16</v>
      </c>
      <c r="W5" s="46">
        <v>17</v>
      </c>
      <c r="X5" s="45">
        <v>18</v>
      </c>
      <c r="Y5" s="44">
        <v>19</v>
      </c>
      <c r="Z5" s="127">
        <v>20</v>
      </c>
      <c r="AA5" s="136">
        <v>21</v>
      </c>
      <c r="AB5" s="137">
        <v>22</v>
      </c>
      <c r="AC5" s="43">
        <v>23</v>
      </c>
      <c r="AD5" s="44">
        <v>24</v>
      </c>
      <c r="AE5" s="44">
        <v>25</v>
      </c>
      <c r="AF5" s="44">
        <v>26</v>
      </c>
      <c r="AG5" s="127">
        <v>27</v>
      </c>
      <c r="AH5" s="136">
        <v>28</v>
      </c>
      <c r="AI5" s="137">
        <v>29</v>
      </c>
      <c r="AJ5" s="40">
        <v>30</v>
      </c>
      <c r="AK5" s="47">
        <v>31</v>
      </c>
      <c r="AL5" s="297"/>
      <c r="AM5" s="168" t="s">
        <v>49</v>
      </c>
      <c r="AN5" s="168" t="s">
        <v>49</v>
      </c>
      <c r="AO5" s="168" t="s">
        <v>50</v>
      </c>
      <c r="AP5" s="168" t="s">
        <v>51</v>
      </c>
      <c r="AR5" s="49"/>
      <c r="AS5" s="49"/>
      <c r="AT5" s="49"/>
      <c r="AU5" s="49"/>
      <c r="AV5" s="49"/>
      <c r="AW5" s="49"/>
      <c r="AX5" s="50" t="s">
        <v>35</v>
      </c>
      <c r="AY5" s="50" t="s">
        <v>16</v>
      </c>
      <c r="AZ5" s="50" t="s">
        <v>36</v>
      </c>
      <c r="BA5" s="50" t="s">
        <v>14</v>
      </c>
      <c r="BB5" s="35" t="s">
        <v>117</v>
      </c>
    </row>
    <row r="6" spans="1:54" s="64" customFormat="1" ht="20.45" customHeight="1" x14ac:dyDescent="0.2">
      <c r="A6" s="188">
        <v>1</v>
      </c>
      <c r="B6" s="189" t="s">
        <v>25</v>
      </c>
      <c r="C6" s="190" t="s">
        <v>26</v>
      </c>
      <c r="D6" s="54" t="s">
        <v>108</v>
      </c>
      <c r="E6" s="287">
        <v>53.75</v>
      </c>
      <c r="F6" s="288"/>
      <c r="G6" s="56"/>
      <c r="H6" s="57">
        <v>2</v>
      </c>
      <c r="I6" s="58">
        <v>1</v>
      </c>
      <c r="J6" s="58"/>
      <c r="K6" s="58"/>
      <c r="L6" s="129"/>
      <c r="M6" s="130"/>
      <c r="N6" s="58"/>
      <c r="O6" s="58"/>
      <c r="P6" s="57"/>
      <c r="Q6" s="58"/>
      <c r="R6" s="58"/>
      <c r="S6" s="129"/>
      <c r="T6" s="130"/>
      <c r="U6" s="58"/>
      <c r="V6" s="59"/>
      <c r="W6" s="57"/>
      <c r="X6" s="57"/>
      <c r="Y6" s="58"/>
      <c r="Z6" s="130"/>
      <c r="AA6" s="129"/>
      <c r="AB6" s="130"/>
      <c r="AC6" s="57"/>
      <c r="AD6" s="58"/>
      <c r="AE6" s="58"/>
      <c r="AF6" s="58"/>
      <c r="AG6" s="130"/>
      <c r="AH6" s="129"/>
      <c r="AI6" s="130"/>
      <c r="AJ6" s="58"/>
      <c r="AK6" s="60"/>
      <c r="AL6" s="211">
        <f>SUM(G6:AK6)</f>
        <v>3</v>
      </c>
      <c r="AM6" s="208">
        <f t="shared" ref="AM6:AM11" si="0">SUM(E6*AL6)</f>
        <v>161.25</v>
      </c>
      <c r="AN6" s="298">
        <f>SUM(AM6:AM7)</f>
        <v>1881.25</v>
      </c>
      <c r="AO6" s="242"/>
      <c r="AP6" s="274" t="s">
        <v>63</v>
      </c>
      <c r="AR6" s="65"/>
      <c r="AS6" s="65"/>
      <c r="AT6" s="65"/>
      <c r="AU6" s="65"/>
      <c r="AV6" s="65"/>
      <c r="AW6" s="65"/>
      <c r="AX6" s="66"/>
      <c r="AY6" s="66"/>
      <c r="AZ6" s="66"/>
      <c r="BA6" s="66"/>
    </row>
    <row r="7" spans="1:54" s="64" customFormat="1" ht="20.45" customHeight="1" x14ac:dyDescent="0.2">
      <c r="A7" s="177"/>
      <c r="B7" s="178"/>
      <c r="C7" s="179"/>
      <c r="D7" s="180"/>
      <c r="E7" s="289">
        <v>430</v>
      </c>
      <c r="F7" s="290"/>
      <c r="G7" s="181"/>
      <c r="H7" s="182"/>
      <c r="I7" s="176"/>
      <c r="J7" s="176" t="s">
        <v>16</v>
      </c>
      <c r="K7" s="176"/>
      <c r="L7" s="183"/>
      <c r="M7" s="184"/>
      <c r="N7" s="176" t="s">
        <v>36</v>
      </c>
      <c r="O7" s="176"/>
      <c r="P7" s="182"/>
      <c r="Q7" s="176" t="s">
        <v>35</v>
      </c>
      <c r="R7" s="176"/>
      <c r="S7" s="183" t="s">
        <v>16</v>
      </c>
      <c r="T7" s="184"/>
      <c r="U7" s="176"/>
      <c r="V7" s="74"/>
      <c r="W7" s="182"/>
      <c r="X7" s="182"/>
      <c r="Y7" s="176"/>
      <c r="Z7" s="184"/>
      <c r="AA7" s="183"/>
      <c r="AB7" s="184"/>
      <c r="AC7" s="182"/>
      <c r="AD7" s="176"/>
      <c r="AE7" s="176"/>
      <c r="AF7" s="176"/>
      <c r="AG7" s="184"/>
      <c r="AH7" s="183"/>
      <c r="AI7" s="184"/>
      <c r="AJ7" s="176"/>
      <c r="AK7" s="185"/>
      <c r="AL7" s="212">
        <f>SUM(AX7+AY7+AZ7)</f>
        <v>4</v>
      </c>
      <c r="AM7" s="209">
        <f t="shared" si="0"/>
        <v>1720</v>
      </c>
      <c r="AN7" s="299"/>
      <c r="AO7" s="277"/>
      <c r="AP7" s="275"/>
      <c r="AR7" s="65">
        <f>COUNTIF(G7:AK7,"ด")</f>
        <v>1</v>
      </c>
      <c r="AS7" s="65">
        <f>COUNTIF(G7:AK7,"ด/บ")</f>
        <v>0</v>
      </c>
      <c r="AT7" s="65">
        <f>COUNTIF(G7:AK7,"ช")</f>
        <v>2</v>
      </c>
      <c r="AU7" s="65">
        <f>COUNTIF(G7:AK7,"ช/บ")</f>
        <v>0</v>
      </c>
      <c r="AV7" s="65">
        <f>COUNTIF(G7:AK7,"บ")</f>
        <v>1</v>
      </c>
      <c r="AW7" s="65">
        <f>COUNTIF(G7:AK7,"BD")</f>
        <v>0</v>
      </c>
      <c r="AX7" s="66">
        <f t="shared" ref="AX7" si="1">AR7+AS7</f>
        <v>1</v>
      </c>
      <c r="AY7" s="66">
        <f t="shared" ref="AY7" si="2">AT7+AU7</f>
        <v>2</v>
      </c>
      <c r="AZ7" s="66">
        <f t="shared" ref="AZ7" si="3">AS7+AU7+AV7</f>
        <v>1</v>
      </c>
      <c r="BA7" s="66">
        <f>AW7</f>
        <v>0</v>
      </c>
    </row>
    <row r="8" spans="1:54" s="64" customFormat="1" ht="20.45" customHeight="1" x14ac:dyDescent="0.2">
      <c r="A8" s="188">
        <v>2</v>
      </c>
      <c r="B8" s="189" t="s">
        <v>25</v>
      </c>
      <c r="C8" s="190" t="s">
        <v>26</v>
      </c>
      <c r="D8" s="54" t="s">
        <v>114</v>
      </c>
      <c r="E8" s="300">
        <v>45</v>
      </c>
      <c r="F8" s="301"/>
      <c r="G8" s="56"/>
      <c r="H8" s="57"/>
      <c r="I8" s="58"/>
      <c r="J8" s="58"/>
      <c r="K8" s="58"/>
      <c r="L8" s="129"/>
      <c r="M8" s="130"/>
      <c r="N8" s="58"/>
      <c r="O8" s="58"/>
      <c r="P8" s="57"/>
      <c r="Q8" s="58"/>
      <c r="R8" s="58"/>
      <c r="S8" s="129"/>
      <c r="T8" s="130"/>
      <c r="U8" s="58"/>
      <c r="V8" s="59">
        <v>1</v>
      </c>
      <c r="W8" s="57">
        <v>2</v>
      </c>
      <c r="X8" s="57">
        <v>4</v>
      </c>
      <c r="Y8" s="58">
        <v>5</v>
      </c>
      <c r="Z8" s="130"/>
      <c r="AA8" s="129"/>
      <c r="AB8" s="130"/>
      <c r="AC8" s="57">
        <v>3</v>
      </c>
      <c r="AD8" s="58">
        <v>2</v>
      </c>
      <c r="AE8" s="58"/>
      <c r="AF8" s="58"/>
      <c r="AG8" s="130"/>
      <c r="AH8" s="129"/>
      <c r="AI8" s="130"/>
      <c r="AJ8" s="58"/>
      <c r="AK8" s="60"/>
      <c r="AL8" s="211">
        <f>SUM(G8:AK8)</f>
        <v>17</v>
      </c>
      <c r="AM8" s="208">
        <f t="shared" si="0"/>
        <v>765</v>
      </c>
      <c r="AN8" s="278">
        <f>SUM(AM8:AM9)</f>
        <v>1125</v>
      </c>
      <c r="AO8" s="242"/>
      <c r="AP8" s="274" t="s">
        <v>63</v>
      </c>
      <c r="AR8" s="65"/>
      <c r="AS8" s="65"/>
      <c r="AT8" s="65"/>
      <c r="AU8" s="65"/>
      <c r="AV8" s="65"/>
      <c r="AW8" s="65"/>
      <c r="AX8" s="66"/>
      <c r="AY8" s="66"/>
      <c r="AZ8" s="66"/>
      <c r="BA8" s="66"/>
    </row>
    <row r="9" spans="1:54" s="64" customFormat="1" ht="20.45" customHeight="1" x14ac:dyDescent="0.2">
      <c r="A9" s="193"/>
      <c r="B9" s="194"/>
      <c r="C9" s="195"/>
      <c r="D9" s="196"/>
      <c r="E9" s="291">
        <v>360</v>
      </c>
      <c r="F9" s="292"/>
      <c r="G9" s="197"/>
      <c r="H9" s="198"/>
      <c r="I9" s="199"/>
      <c r="J9" s="199"/>
      <c r="K9" s="199"/>
      <c r="L9" s="200"/>
      <c r="M9" s="201"/>
      <c r="N9" s="199"/>
      <c r="O9" s="199"/>
      <c r="P9" s="198"/>
      <c r="Q9" s="199"/>
      <c r="R9" s="199"/>
      <c r="S9" s="200" t="s">
        <v>16</v>
      </c>
      <c r="T9" s="201"/>
      <c r="U9" s="199"/>
      <c r="V9" s="199"/>
      <c r="W9" s="198"/>
      <c r="X9" s="198"/>
      <c r="Y9" s="199"/>
      <c r="Z9" s="201"/>
      <c r="AA9" s="200"/>
      <c r="AB9" s="201"/>
      <c r="AC9" s="198"/>
      <c r="AD9" s="199"/>
      <c r="AE9" s="199"/>
      <c r="AF9" s="199"/>
      <c r="AG9" s="201"/>
      <c r="AH9" s="200"/>
      <c r="AI9" s="201"/>
      <c r="AJ9" s="199"/>
      <c r="AK9" s="202"/>
      <c r="AL9" s="213">
        <f>SUM(AX9+AY9+AZ9)</f>
        <v>1</v>
      </c>
      <c r="AM9" s="210">
        <f t="shared" si="0"/>
        <v>360</v>
      </c>
      <c r="AN9" s="280"/>
      <c r="AO9" s="243"/>
      <c r="AP9" s="276"/>
      <c r="AR9" s="65">
        <f>COUNTIF(G9:AK9,"ด")</f>
        <v>0</v>
      </c>
      <c r="AS9" s="65">
        <f>COUNTIF(G9:AK9,"ด/บ")</f>
        <v>0</v>
      </c>
      <c r="AT9" s="65">
        <f>COUNTIF(G9:AK9,"ช")</f>
        <v>1</v>
      </c>
      <c r="AU9" s="65">
        <f>COUNTIF(G9:AK9,"ช/บ")</f>
        <v>0</v>
      </c>
      <c r="AV9" s="65">
        <f>COUNTIF(G9:AK9,"บ")</f>
        <v>0</v>
      </c>
      <c r="AW9" s="65">
        <f>COUNTIF(G9:AK9,"BD")</f>
        <v>0</v>
      </c>
      <c r="AX9" s="66">
        <f t="shared" ref="AX9" si="4">AR9+AS9</f>
        <v>0</v>
      </c>
      <c r="AY9" s="66">
        <f t="shared" ref="AY9" si="5">AT9+AU9</f>
        <v>1</v>
      </c>
      <c r="AZ9" s="66">
        <f t="shared" ref="AZ9" si="6">AS9+AU9+AV9</f>
        <v>0</v>
      </c>
      <c r="BA9" s="66">
        <f>AW9</f>
        <v>0</v>
      </c>
    </row>
    <row r="10" spans="1:54" s="64" customFormat="1" ht="20.45" customHeight="1" x14ac:dyDescent="0.2">
      <c r="A10" s="188">
        <v>3</v>
      </c>
      <c r="B10" s="189" t="s">
        <v>25</v>
      </c>
      <c r="C10" s="190" t="s">
        <v>26</v>
      </c>
      <c r="D10" s="54" t="s">
        <v>115</v>
      </c>
      <c r="E10" s="300">
        <v>45</v>
      </c>
      <c r="F10" s="301"/>
      <c r="G10" s="56"/>
      <c r="H10" s="57"/>
      <c r="I10" s="58"/>
      <c r="J10" s="58"/>
      <c r="K10" s="58"/>
      <c r="L10" s="129"/>
      <c r="M10" s="130"/>
      <c r="N10" s="58">
        <v>2</v>
      </c>
      <c r="O10" s="58">
        <v>4</v>
      </c>
      <c r="P10" s="57">
        <v>3</v>
      </c>
      <c r="Q10" s="58">
        <v>1</v>
      </c>
      <c r="R10" s="58">
        <v>2</v>
      </c>
      <c r="S10" s="129"/>
      <c r="T10" s="130"/>
      <c r="U10" s="58">
        <v>4</v>
      </c>
      <c r="V10" s="59">
        <v>3</v>
      </c>
      <c r="W10" s="57"/>
      <c r="X10" s="57"/>
      <c r="Y10" s="58"/>
      <c r="Z10" s="130"/>
      <c r="AA10" s="129"/>
      <c r="AB10" s="130"/>
      <c r="AC10" s="57"/>
      <c r="AD10" s="58"/>
      <c r="AE10" s="58"/>
      <c r="AF10" s="58"/>
      <c r="AG10" s="130"/>
      <c r="AH10" s="129"/>
      <c r="AI10" s="130"/>
      <c r="AJ10" s="58"/>
      <c r="AK10" s="60"/>
      <c r="AL10" s="211">
        <f>SUM(G10:AK10)</f>
        <v>19</v>
      </c>
      <c r="AM10" s="208">
        <f t="shared" si="0"/>
        <v>855</v>
      </c>
      <c r="AN10" s="278">
        <f>SUM(AM10:AM11)</f>
        <v>3015</v>
      </c>
      <c r="AO10" s="242"/>
      <c r="AP10" s="274" t="s">
        <v>63</v>
      </c>
      <c r="AR10" s="65"/>
      <c r="AS10" s="65"/>
      <c r="AT10" s="65"/>
      <c r="AU10" s="65"/>
      <c r="AV10" s="65"/>
      <c r="AW10" s="65"/>
      <c r="AX10" s="66"/>
      <c r="AY10" s="66"/>
      <c r="AZ10" s="66"/>
      <c r="BA10" s="66"/>
    </row>
    <row r="11" spans="1:54" s="64" customFormat="1" ht="20.45" customHeight="1" x14ac:dyDescent="0.2">
      <c r="A11" s="193"/>
      <c r="B11" s="194"/>
      <c r="C11" s="195"/>
      <c r="D11" s="196"/>
      <c r="E11" s="291">
        <v>360</v>
      </c>
      <c r="F11" s="292"/>
      <c r="G11" s="197"/>
      <c r="H11" s="198"/>
      <c r="I11" s="199"/>
      <c r="J11" s="199"/>
      <c r="K11" s="199"/>
      <c r="L11" s="200"/>
      <c r="M11" s="201"/>
      <c r="N11" s="199"/>
      <c r="O11" s="199"/>
      <c r="P11" s="198"/>
      <c r="Q11" s="199"/>
      <c r="R11" s="199"/>
      <c r="S11" s="200" t="s">
        <v>36</v>
      </c>
      <c r="T11" s="201"/>
      <c r="U11" s="199"/>
      <c r="V11" s="199" t="s">
        <v>16</v>
      </c>
      <c r="W11" s="198" t="s">
        <v>35</v>
      </c>
      <c r="X11" s="198" t="s">
        <v>36</v>
      </c>
      <c r="Y11" s="199"/>
      <c r="Z11" s="201"/>
      <c r="AA11" s="200" t="s">
        <v>16</v>
      </c>
      <c r="AB11" s="201" t="s">
        <v>36</v>
      </c>
      <c r="AC11" s="198"/>
      <c r="AD11" s="199"/>
      <c r="AE11" s="199"/>
      <c r="AF11" s="199"/>
      <c r="AG11" s="201"/>
      <c r="AH11" s="200"/>
      <c r="AI11" s="201"/>
      <c r="AJ11" s="199"/>
      <c r="AK11" s="202"/>
      <c r="AL11" s="213">
        <f>SUM(AX11+AY11+AZ11)</f>
        <v>6</v>
      </c>
      <c r="AM11" s="210">
        <f t="shared" si="0"/>
        <v>2160</v>
      </c>
      <c r="AN11" s="280"/>
      <c r="AO11" s="243"/>
      <c r="AP11" s="276"/>
      <c r="AR11" s="65">
        <f>COUNTIF(G11:AK11,"ด")</f>
        <v>1</v>
      </c>
      <c r="AS11" s="65">
        <f>COUNTIF(G11:AK11,"ด/บ")</f>
        <v>0</v>
      </c>
      <c r="AT11" s="65">
        <f>COUNTIF(G11:AK11,"ช")</f>
        <v>2</v>
      </c>
      <c r="AU11" s="65">
        <f>COUNTIF(G11:AK11,"ช/บ")</f>
        <v>0</v>
      </c>
      <c r="AV11" s="65">
        <f>COUNTIF(G11:AK11,"บ")</f>
        <v>3</v>
      </c>
      <c r="AW11" s="65">
        <f>COUNTIF(G11:AK11,"BD")</f>
        <v>0</v>
      </c>
      <c r="AX11" s="66">
        <f t="shared" ref="AX11" si="7">AR11+AS11</f>
        <v>1</v>
      </c>
      <c r="AY11" s="66">
        <f t="shared" ref="AY11" si="8">AT11+AU11</f>
        <v>2</v>
      </c>
      <c r="AZ11" s="66">
        <f t="shared" ref="AZ11" si="9">AS11+AU11+AV11</f>
        <v>3</v>
      </c>
      <c r="BA11" s="66">
        <f>AW11</f>
        <v>0</v>
      </c>
    </row>
    <row r="12" spans="1:54" ht="20.45" customHeight="1" x14ac:dyDescent="0.45">
      <c r="A12" s="87"/>
      <c r="B12" s="88"/>
      <c r="C12" s="88"/>
      <c r="D12" s="89"/>
      <c r="E12" s="90"/>
      <c r="F12" s="90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263" t="s">
        <v>52</v>
      </c>
      <c r="AH12" s="263"/>
      <c r="AI12" s="263"/>
      <c r="AJ12" s="263"/>
      <c r="AK12" s="237"/>
      <c r="AL12" s="214">
        <f>SUM(AL6:AL9)</f>
        <v>25</v>
      </c>
      <c r="AM12" s="94">
        <f>SUM(AM6:AM9)</f>
        <v>3006.25</v>
      </c>
      <c r="AN12" s="94">
        <f>SUM(AN6:AN9)</f>
        <v>3006.25</v>
      </c>
      <c r="AO12" s="95"/>
      <c r="AP12" s="96"/>
      <c r="AR12" s="97"/>
      <c r="AS12" s="97"/>
      <c r="AT12" s="97"/>
      <c r="AU12" s="97"/>
      <c r="AV12" s="97"/>
      <c r="AW12" s="97"/>
      <c r="AX12" s="98"/>
      <c r="AY12" s="98"/>
      <c r="AZ12" s="98"/>
      <c r="BA12" s="98"/>
    </row>
    <row r="13" spans="1:54" ht="13.5" customHeight="1" x14ac:dyDescent="0.45">
      <c r="A13" s="173"/>
      <c r="B13" s="100"/>
      <c r="C13" s="100"/>
      <c r="D13" s="101"/>
      <c r="E13" s="173"/>
      <c r="F13" s="173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3"/>
      <c r="AL13" s="215"/>
      <c r="AM13" s="105"/>
      <c r="AN13" s="105"/>
      <c r="AO13" s="173"/>
      <c r="AP13" s="14"/>
      <c r="AR13" s="106"/>
      <c r="AS13" s="106"/>
      <c r="AT13" s="106"/>
      <c r="AU13" s="106"/>
      <c r="AV13" s="106"/>
      <c r="AW13" s="106"/>
      <c r="AX13" s="107"/>
      <c r="AY13" s="107"/>
      <c r="AZ13" s="107"/>
      <c r="BA13" s="107"/>
    </row>
    <row r="14" spans="1:54" ht="24.75" customHeight="1" x14ac:dyDescent="0.45">
      <c r="B14" s="119"/>
      <c r="C14" s="119"/>
      <c r="D14" s="119" t="s">
        <v>90</v>
      </c>
      <c r="E14" s="119"/>
      <c r="F14" s="271">
        <f>+AM12</f>
        <v>3006.25</v>
      </c>
      <c r="G14" s="271"/>
      <c r="H14" s="271"/>
      <c r="I14" s="119" t="s">
        <v>91</v>
      </c>
      <c r="K14" s="119"/>
      <c r="L14" s="119" t="s">
        <v>92</v>
      </c>
      <c r="M14" s="119"/>
      <c r="N14" s="119"/>
      <c r="O14" s="119"/>
      <c r="P14" s="119"/>
      <c r="Q14" s="264" t="str">
        <f>"("&amp;BAHTTEXT(F14)&amp;")"</f>
        <v>(สามพันหกบาทยี่สิบห้าสตางค์)</v>
      </c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120"/>
      <c r="AG14" s="120"/>
      <c r="AH14" s="120"/>
      <c r="AI14" s="120"/>
      <c r="AJ14" s="120"/>
      <c r="AK14" s="120"/>
      <c r="AL14" s="216"/>
      <c r="AM14" s="13"/>
      <c r="AN14" s="13"/>
      <c r="AO14" s="13"/>
      <c r="AP14" s="13"/>
      <c r="AR14" s="106"/>
      <c r="AS14" s="106"/>
      <c r="AT14" s="106"/>
      <c r="AU14" s="106"/>
      <c r="AV14" s="106"/>
      <c r="AW14" s="106"/>
      <c r="AX14" s="109">
        <f>SUM(AX6:AX12)</f>
        <v>2</v>
      </c>
      <c r="AY14" s="109">
        <f>SUM(AY6:AY12)</f>
        <v>5</v>
      </c>
      <c r="AZ14" s="109">
        <f>SUM(AZ6:AZ12)</f>
        <v>4</v>
      </c>
      <c r="BA14" s="109">
        <f>SUM(BA6:BA12)</f>
        <v>0</v>
      </c>
    </row>
    <row r="15" spans="1:54" ht="11.25" customHeight="1" x14ac:dyDescent="0.45">
      <c r="A15" s="165"/>
      <c r="B15" s="165"/>
      <c r="C15" s="165"/>
      <c r="D15" s="110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217"/>
      <c r="AM15" s="165"/>
      <c r="AN15" s="165"/>
      <c r="AO15" s="165"/>
      <c r="AP15" s="165"/>
      <c r="AR15" s="106"/>
      <c r="AS15" s="106"/>
      <c r="AT15" s="106"/>
      <c r="AU15" s="106"/>
      <c r="AV15" s="106"/>
      <c r="AW15" s="106"/>
      <c r="AX15" s="112"/>
      <c r="AY15" s="112"/>
      <c r="AZ15" s="112"/>
      <c r="BA15" s="112"/>
    </row>
    <row r="16" spans="1:54" ht="20.45" customHeight="1" x14ac:dyDescent="0.45">
      <c r="A16" s="13"/>
      <c r="B16" s="13"/>
      <c r="C16" s="119"/>
      <c r="D16" s="119"/>
      <c r="E16" s="119" t="s">
        <v>58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218"/>
      <c r="AM16" s="174"/>
      <c r="AN16" s="174"/>
      <c r="AO16" s="13"/>
      <c r="AP16" s="13"/>
      <c r="AR16" s="106"/>
      <c r="AS16" s="106"/>
      <c r="AT16" s="106"/>
      <c r="AU16" s="106"/>
      <c r="AV16" s="106"/>
      <c r="AW16" s="106"/>
      <c r="AX16" s="112"/>
      <c r="AY16" s="112"/>
      <c r="AZ16" s="112"/>
      <c r="BA16" s="112"/>
    </row>
    <row r="17" spans="1:53" ht="20.45" customHeight="1" x14ac:dyDescent="0.45">
      <c r="A17" s="13"/>
      <c r="B17" s="13"/>
      <c r="C17" s="13"/>
      <c r="D17" s="110"/>
      <c r="E17" s="13"/>
      <c r="F17" s="13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217"/>
      <c r="AM17" s="174"/>
      <c r="AN17" s="174"/>
      <c r="AO17" s="13"/>
      <c r="AP17" s="13"/>
      <c r="AR17" s="106"/>
      <c r="AS17" s="106"/>
      <c r="AT17" s="106"/>
      <c r="AU17" s="106"/>
      <c r="AV17" s="106"/>
      <c r="AW17" s="106"/>
      <c r="AX17" s="112"/>
      <c r="AY17" s="112"/>
      <c r="AZ17" s="112"/>
      <c r="BA17" s="112"/>
    </row>
    <row r="18" spans="1:53" ht="20.45" customHeight="1" x14ac:dyDescent="0.45">
      <c r="A18" s="13"/>
      <c r="B18" s="13"/>
      <c r="C18" s="13"/>
      <c r="D18" s="110"/>
      <c r="E18" s="13"/>
      <c r="F18" s="13"/>
      <c r="G18" s="13"/>
      <c r="H18" s="13"/>
      <c r="I18" s="13"/>
      <c r="J18" s="13"/>
      <c r="K18" s="13"/>
      <c r="L18" s="13"/>
      <c r="M18" s="13"/>
      <c r="N18" s="13" t="s">
        <v>54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s">
        <v>55</v>
      </c>
      <c r="AI18" s="13"/>
      <c r="AJ18" s="13"/>
      <c r="AK18" s="13"/>
      <c r="AL18" s="216"/>
      <c r="AM18" s="13"/>
      <c r="AN18" s="13"/>
      <c r="AO18" s="13"/>
      <c r="AP18" s="13"/>
      <c r="AR18" s="106"/>
      <c r="AS18" s="106"/>
      <c r="AT18" s="106"/>
      <c r="AU18" s="106"/>
      <c r="AV18" s="106"/>
      <c r="AW18" s="106"/>
      <c r="AX18" s="112"/>
      <c r="AY18" s="112"/>
      <c r="AZ18" s="112"/>
      <c r="BA18" s="112"/>
    </row>
    <row r="19" spans="1:53" ht="20.45" customHeight="1" x14ac:dyDescent="0.45">
      <c r="A19" s="165"/>
      <c r="B19" s="110"/>
      <c r="C19" s="13"/>
      <c r="D19" s="110"/>
      <c r="E19" s="13"/>
      <c r="F19" s="13"/>
      <c r="G19" s="13"/>
      <c r="H19" s="13"/>
      <c r="I19" s="13"/>
      <c r="J19" s="13"/>
      <c r="K19" s="13"/>
      <c r="L19" s="13"/>
      <c r="M19" s="13"/>
      <c r="N19" s="13" t="s">
        <v>100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10"/>
      <c r="AF19" s="110"/>
      <c r="AG19" s="110"/>
      <c r="AH19" s="13" t="s">
        <v>56</v>
      </c>
      <c r="AI19" s="13"/>
      <c r="AJ19" s="13"/>
      <c r="AK19" s="13"/>
      <c r="AL19" s="216"/>
      <c r="AM19" s="13"/>
      <c r="AN19" s="13"/>
      <c r="AO19" s="13"/>
      <c r="AP19" s="110"/>
      <c r="AR19" s="106"/>
      <c r="AS19" s="106"/>
      <c r="AT19" s="106"/>
      <c r="AU19" s="106"/>
      <c r="AV19" s="106"/>
      <c r="AW19" s="106"/>
      <c r="AX19" s="112"/>
      <c r="AY19" s="112"/>
      <c r="AZ19" s="112"/>
      <c r="BA19" s="112"/>
    </row>
    <row r="20" spans="1:53" ht="23.25" customHeight="1" x14ac:dyDescent="0.45">
      <c r="A20" s="165"/>
      <c r="B20" s="110"/>
      <c r="C20" s="13"/>
      <c r="D20" s="110"/>
      <c r="E20" s="13"/>
      <c r="F20" s="13"/>
      <c r="G20" s="13"/>
      <c r="H20" s="13"/>
      <c r="I20" s="13"/>
      <c r="J20" s="13"/>
      <c r="K20" s="13"/>
      <c r="L20" s="13"/>
      <c r="M20" s="13"/>
      <c r="N20" s="248" t="s">
        <v>101</v>
      </c>
      <c r="O20" s="248"/>
      <c r="P20" s="248"/>
      <c r="Q20" s="248"/>
      <c r="R20" s="248"/>
      <c r="S20" s="248"/>
      <c r="T20" s="119"/>
      <c r="U20" s="119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216"/>
      <c r="AM20" s="174"/>
      <c r="AN20" s="174"/>
      <c r="AO20" s="13"/>
      <c r="AP20" s="13"/>
      <c r="AQ20" s="13"/>
      <c r="AS20" s="114"/>
      <c r="AT20" s="106"/>
      <c r="AU20" s="106"/>
      <c r="AV20" s="106"/>
      <c r="AW20" s="106"/>
      <c r="AX20" s="112"/>
      <c r="AY20" s="112"/>
      <c r="AZ20" s="112"/>
      <c r="BA20" s="112"/>
    </row>
    <row r="21" spans="1:53" ht="23.25" customHeight="1" x14ac:dyDescent="0.45">
      <c r="A21" s="165"/>
      <c r="B21" s="110"/>
      <c r="C21" s="13"/>
      <c r="D21" s="1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216"/>
      <c r="AM21" s="174"/>
      <c r="AN21" s="174"/>
      <c r="AO21" s="13"/>
      <c r="AP21" s="13"/>
      <c r="AQ21" s="13"/>
      <c r="AS21" s="114"/>
      <c r="AT21" s="106"/>
      <c r="AU21" s="106"/>
      <c r="AV21" s="106"/>
      <c r="AW21" s="106"/>
      <c r="AX21" s="112"/>
      <c r="AY21" s="112"/>
      <c r="AZ21" s="112"/>
      <c r="BA21" s="112"/>
    </row>
    <row r="22" spans="1:53" ht="23.25" customHeight="1" thickBot="1" x14ac:dyDescent="0.5">
      <c r="A22" s="165"/>
      <c r="B22" s="110"/>
      <c r="C22" s="165"/>
      <c r="D22" s="110"/>
      <c r="E22" s="13"/>
      <c r="F22" s="13"/>
      <c r="G22" s="13"/>
      <c r="H22" s="13"/>
      <c r="I22" s="13"/>
      <c r="J22" s="13"/>
      <c r="K22" s="13"/>
      <c r="L22" s="13"/>
      <c r="M22" s="13"/>
      <c r="N22" s="13" t="s">
        <v>57</v>
      </c>
      <c r="O22" s="165"/>
      <c r="P22" s="165"/>
      <c r="Q22" s="165"/>
      <c r="R22" s="165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216"/>
      <c r="AM22" s="174"/>
      <c r="AN22" s="174"/>
      <c r="AO22" s="13"/>
      <c r="AP22" s="13"/>
      <c r="AQ22" s="13"/>
      <c r="AT22" s="106"/>
      <c r="AU22" s="106"/>
      <c r="AV22" s="106"/>
      <c r="AW22" s="106"/>
      <c r="AX22" s="112"/>
      <c r="AY22" s="112"/>
      <c r="AZ22" s="112"/>
      <c r="BA22" s="112"/>
    </row>
    <row r="23" spans="1:53" ht="22.5" x14ac:dyDescent="0.45">
      <c r="A23" s="173"/>
      <c r="B23" s="101"/>
      <c r="C23" s="13"/>
      <c r="D23" s="13"/>
      <c r="E23" s="13"/>
      <c r="F23" s="265" t="s">
        <v>59</v>
      </c>
      <c r="G23" s="266"/>
      <c r="H23" s="266"/>
      <c r="I23" s="266"/>
      <c r="J23" s="266"/>
      <c r="K23" s="266"/>
      <c r="L23" s="267"/>
      <c r="M23" s="13"/>
      <c r="N23" s="248" t="s">
        <v>102</v>
      </c>
      <c r="O23" s="248"/>
      <c r="P23" s="248"/>
      <c r="Q23" s="248"/>
      <c r="R23" s="248"/>
      <c r="S23" s="248"/>
      <c r="T23" s="119"/>
      <c r="U23" s="119"/>
      <c r="V23" s="119"/>
      <c r="AD23" s="13"/>
      <c r="AE23" s="13"/>
      <c r="AF23" s="13"/>
      <c r="AG23" s="13"/>
      <c r="AH23" s="13"/>
      <c r="AI23" s="13"/>
      <c r="AJ23" s="13"/>
      <c r="AK23" s="13"/>
      <c r="AL23" s="216"/>
      <c r="AM23" s="13"/>
      <c r="AN23" s="13"/>
      <c r="AO23" s="13"/>
      <c r="AP23" s="13"/>
      <c r="AQ23" s="13"/>
      <c r="AX23" s="112"/>
      <c r="AY23" s="112"/>
      <c r="AZ23" s="112"/>
      <c r="BA23" s="112"/>
    </row>
    <row r="24" spans="1:53" ht="21.75" thickBot="1" x14ac:dyDescent="0.5">
      <c r="A24" s="14"/>
      <c r="B24" s="14"/>
      <c r="C24" s="14"/>
      <c r="D24" s="101"/>
      <c r="E24" s="14"/>
      <c r="F24" s="268"/>
      <c r="G24" s="269"/>
      <c r="H24" s="269"/>
      <c r="I24" s="269"/>
      <c r="J24" s="269"/>
      <c r="K24" s="269"/>
      <c r="L24" s="270"/>
      <c r="M24" s="14"/>
      <c r="N24" s="256" t="s">
        <v>103</v>
      </c>
      <c r="O24" s="256"/>
      <c r="P24" s="256"/>
      <c r="Q24" s="256"/>
      <c r="R24" s="256"/>
      <c r="S24" s="256"/>
      <c r="T24" s="205"/>
      <c r="U24" s="205"/>
      <c r="V24" s="205"/>
      <c r="AD24" s="14"/>
      <c r="AE24" s="14"/>
      <c r="AF24" s="14"/>
      <c r="AG24" s="14"/>
      <c r="AH24" s="14"/>
      <c r="AI24" s="14"/>
      <c r="AJ24" s="14"/>
      <c r="AK24" s="14"/>
      <c r="AL24" s="219"/>
      <c r="AM24" s="105"/>
      <c r="AN24" s="105"/>
      <c r="AO24" s="14"/>
      <c r="AP24" s="14"/>
    </row>
  </sheetData>
  <sheetProtection password="CEEF" sheet="1" formatCells="0" formatColumns="0" formatRows="0" insertColumns="0" insertRows="0" insertHyperlinks="0" deleteColumns="0" deleteRows="0" sort="0" autoFilter="0" pivotTables="0"/>
  <mergeCells count="33">
    <mergeCell ref="AP10:AP11"/>
    <mergeCell ref="E11:F11"/>
    <mergeCell ref="F23:L24"/>
    <mergeCell ref="N23:S23"/>
    <mergeCell ref="N24:S24"/>
    <mergeCell ref="E8:F8"/>
    <mergeCell ref="AO8:AO9"/>
    <mergeCell ref="AG12:AK12"/>
    <mergeCell ref="F14:H14"/>
    <mergeCell ref="Q14:AE14"/>
    <mergeCell ref="N20:S20"/>
    <mergeCell ref="E10:F10"/>
    <mergeCell ref="AN10:AN11"/>
    <mergeCell ref="AO10:AO11"/>
    <mergeCell ref="AP8:AP9"/>
    <mergeCell ref="E9:F9"/>
    <mergeCell ref="AN8:AN9"/>
    <mergeCell ref="E6:F6"/>
    <mergeCell ref="AO6:AO7"/>
    <mergeCell ref="AP6:AP7"/>
    <mergeCell ref="E7:F7"/>
    <mergeCell ref="AN6:AN7"/>
    <mergeCell ref="A1:AP1"/>
    <mergeCell ref="AX1:BA1"/>
    <mergeCell ref="A2:AP2"/>
    <mergeCell ref="A3:AP3"/>
    <mergeCell ref="A4:A5"/>
    <mergeCell ref="B4:C4"/>
    <mergeCell ref="E4:F4"/>
    <mergeCell ref="G4:AK4"/>
    <mergeCell ref="AL4:AL5"/>
    <mergeCell ref="AX4:BA4"/>
    <mergeCell ref="E5:F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57" fitToHeight="0" orientation="landscape" horizontalDpi="0" verticalDpi="0" r:id="rId1"/>
  <ignoredErrors>
    <ignoredError sqref="AL6 AL8:AL11" formulaRange="1"/>
    <ignoredError sqref="AL7" formula="1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0090-F152-49EB-853C-7CCEB909DEB7}">
  <sheetPr>
    <pageSetUpPr fitToPage="1"/>
  </sheetPr>
  <dimension ref="A1:H37"/>
  <sheetViews>
    <sheetView workbookViewId="0">
      <selection activeCell="H24" sqref="H24"/>
    </sheetView>
  </sheetViews>
  <sheetFormatPr defaultRowHeight="21" x14ac:dyDescent="0.35"/>
  <cols>
    <col min="1" max="1" width="10.375" style="13" customWidth="1"/>
    <col min="2" max="2" width="4" style="13" customWidth="1"/>
    <col min="3" max="3" width="23.625" style="13" customWidth="1"/>
    <col min="4" max="4" width="10.75" style="13" customWidth="1"/>
    <col min="5" max="5" width="10.75" style="16" customWidth="1"/>
    <col min="6" max="7" width="10.75" style="13" customWidth="1"/>
    <col min="8" max="8" width="10.5" style="13" customWidth="1"/>
    <col min="9" max="216" width="9" style="13"/>
    <col min="217" max="217" width="5.875" style="13" customWidth="1"/>
    <col min="218" max="218" width="10.375" style="13" customWidth="1"/>
    <col min="219" max="219" width="15.25" style="13" customWidth="1"/>
    <col min="220" max="220" width="13.75" style="13" customWidth="1"/>
    <col min="221" max="224" width="11.25" style="13" customWidth="1"/>
    <col min="225" max="225" width="11" style="13" customWidth="1"/>
    <col min="226" max="256" width="9" style="13"/>
    <col min="257" max="257" width="10.375" style="13" customWidth="1"/>
    <col min="258" max="258" width="4" style="13" customWidth="1"/>
    <col min="259" max="259" width="23.625" style="13" customWidth="1"/>
    <col min="260" max="263" width="10.75" style="13" customWidth="1"/>
    <col min="264" max="264" width="10.5" style="13" customWidth="1"/>
    <col min="265" max="472" width="9" style="13"/>
    <col min="473" max="473" width="5.875" style="13" customWidth="1"/>
    <col min="474" max="474" width="10.375" style="13" customWidth="1"/>
    <col min="475" max="475" width="15.25" style="13" customWidth="1"/>
    <col min="476" max="476" width="13.75" style="13" customWidth="1"/>
    <col min="477" max="480" width="11.25" style="13" customWidth="1"/>
    <col min="481" max="481" width="11" style="13" customWidth="1"/>
    <col min="482" max="512" width="9" style="13"/>
    <col min="513" max="513" width="10.375" style="13" customWidth="1"/>
    <col min="514" max="514" width="4" style="13" customWidth="1"/>
    <col min="515" max="515" width="23.625" style="13" customWidth="1"/>
    <col min="516" max="519" width="10.75" style="13" customWidth="1"/>
    <col min="520" max="520" width="10.5" style="13" customWidth="1"/>
    <col min="521" max="728" width="9" style="13"/>
    <col min="729" max="729" width="5.875" style="13" customWidth="1"/>
    <col min="730" max="730" width="10.375" style="13" customWidth="1"/>
    <col min="731" max="731" width="15.25" style="13" customWidth="1"/>
    <col min="732" max="732" width="13.75" style="13" customWidth="1"/>
    <col min="733" max="736" width="11.25" style="13" customWidth="1"/>
    <col min="737" max="737" width="11" style="13" customWidth="1"/>
    <col min="738" max="768" width="9" style="13"/>
    <col min="769" max="769" width="10.375" style="13" customWidth="1"/>
    <col min="770" max="770" width="4" style="13" customWidth="1"/>
    <col min="771" max="771" width="23.625" style="13" customWidth="1"/>
    <col min="772" max="775" width="10.75" style="13" customWidth="1"/>
    <col min="776" max="776" width="10.5" style="13" customWidth="1"/>
    <col min="777" max="984" width="9" style="13"/>
    <col min="985" max="985" width="5.875" style="13" customWidth="1"/>
    <col min="986" max="986" width="10.375" style="13" customWidth="1"/>
    <col min="987" max="987" width="15.25" style="13" customWidth="1"/>
    <col min="988" max="988" width="13.75" style="13" customWidth="1"/>
    <col min="989" max="992" width="11.25" style="13" customWidth="1"/>
    <col min="993" max="993" width="11" style="13" customWidth="1"/>
    <col min="994" max="1024" width="9" style="13"/>
    <col min="1025" max="1025" width="10.375" style="13" customWidth="1"/>
    <col min="1026" max="1026" width="4" style="13" customWidth="1"/>
    <col min="1027" max="1027" width="23.625" style="13" customWidth="1"/>
    <col min="1028" max="1031" width="10.75" style="13" customWidth="1"/>
    <col min="1032" max="1032" width="10.5" style="13" customWidth="1"/>
    <col min="1033" max="1240" width="9" style="13"/>
    <col min="1241" max="1241" width="5.875" style="13" customWidth="1"/>
    <col min="1242" max="1242" width="10.375" style="13" customWidth="1"/>
    <col min="1243" max="1243" width="15.25" style="13" customWidth="1"/>
    <col min="1244" max="1244" width="13.75" style="13" customWidth="1"/>
    <col min="1245" max="1248" width="11.25" style="13" customWidth="1"/>
    <col min="1249" max="1249" width="11" style="13" customWidth="1"/>
    <col min="1250" max="1280" width="9" style="13"/>
    <col min="1281" max="1281" width="10.375" style="13" customWidth="1"/>
    <col min="1282" max="1282" width="4" style="13" customWidth="1"/>
    <col min="1283" max="1283" width="23.625" style="13" customWidth="1"/>
    <col min="1284" max="1287" width="10.75" style="13" customWidth="1"/>
    <col min="1288" max="1288" width="10.5" style="13" customWidth="1"/>
    <col min="1289" max="1496" width="9" style="13"/>
    <col min="1497" max="1497" width="5.875" style="13" customWidth="1"/>
    <col min="1498" max="1498" width="10.375" style="13" customWidth="1"/>
    <col min="1499" max="1499" width="15.25" style="13" customWidth="1"/>
    <col min="1500" max="1500" width="13.75" style="13" customWidth="1"/>
    <col min="1501" max="1504" width="11.25" style="13" customWidth="1"/>
    <col min="1505" max="1505" width="11" style="13" customWidth="1"/>
    <col min="1506" max="1536" width="9" style="13"/>
    <col min="1537" max="1537" width="10.375" style="13" customWidth="1"/>
    <col min="1538" max="1538" width="4" style="13" customWidth="1"/>
    <col min="1539" max="1539" width="23.625" style="13" customWidth="1"/>
    <col min="1540" max="1543" width="10.75" style="13" customWidth="1"/>
    <col min="1544" max="1544" width="10.5" style="13" customWidth="1"/>
    <col min="1545" max="1752" width="9" style="13"/>
    <col min="1753" max="1753" width="5.875" style="13" customWidth="1"/>
    <col min="1754" max="1754" width="10.375" style="13" customWidth="1"/>
    <col min="1755" max="1755" width="15.25" style="13" customWidth="1"/>
    <col min="1756" max="1756" width="13.75" style="13" customWidth="1"/>
    <col min="1757" max="1760" width="11.25" style="13" customWidth="1"/>
    <col min="1761" max="1761" width="11" style="13" customWidth="1"/>
    <col min="1762" max="1792" width="9" style="13"/>
    <col min="1793" max="1793" width="10.375" style="13" customWidth="1"/>
    <col min="1794" max="1794" width="4" style="13" customWidth="1"/>
    <col min="1795" max="1795" width="23.625" style="13" customWidth="1"/>
    <col min="1796" max="1799" width="10.75" style="13" customWidth="1"/>
    <col min="1800" max="1800" width="10.5" style="13" customWidth="1"/>
    <col min="1801" max="2008" width="9" style="13"/>
    <col min="2009" max="2009" width="5.875" style="13" customWidth="1"/>
    <col min="2010" max="2010" width="10.375" style="13" customWidth="1"/>
    <col min="2011" max="2011" width="15.25" style="13" customWidth="1"/>
    <col min="2012" max="2012" width="13.75" style="13" customWidth="1"/>
    <col min="2013" max="2016" width="11.25" style="13" customWidth="1"/>
    <col min="2017" max="2017" width="11" style="13" customWidth="1"/>
    <col min="2018" max="2048" width="9" style="13"/>
    <col min="2049" max="2049" width="10.375" style="13" customWidth="1"/>
    <col min="2050" max="2050" width="4" style="13" customWidth="1"/>
    <col min="2051" max="2051" width="23.625" style="13" customWidth="1"/>
    <col min="2052" max="2055" width="10.75" style="13" customWidth="1"/>
    <col min="2056" max="2056" width="10.5" style="13" customWidth="1"/>
    <col min="2057" max="2264" width="9" style="13"/>
    <col min="2265" max="2265" width="5.875" style="13" customWidth="1"/>
    <col min="2266" max="2266" width="10.375" style="13" customWidth="1"/>
    <col min="2267" max="2267" width="15.25" style="13" customWidth="1"/>
    <col min="2268" max="2268" width="13.75" style="13" customWidth="1"/>
    <col min="2269" max="2272" width="11.25" style="13" customWidth="1"/>
    <col min="2273" max="2273" width="11" style="13" customWidth="1"/>
    <col min="2274" max="2304" width="9" style="13"/>
    <col min="2305" max="2305" width="10.375" style="13" customWidth="1"/>
    <col min="2306" max="2306" width="4" style="13" customWidth="1"/>
    <col min="2307" max="2307" width="23.625" style="13" customWidth="1"/>
    <col min="2308" max="2311" width="10.75" style="13" customWidth="1"/>
    <col min="2312" max="2312" width="10.5" style="13" customWidth="1"/>
    <col min="2313" max="2520" width="9" style="13"/>
    <col min="2521" max="2521" width="5.875" style="13" customWidth="1"/>
    <col min="2522" max="2522" width="10.375" style="13" customWidth="1"/>
    <col min="2523" max="2523" width="15.25" style="13" customWidth="1"/>
    <col min="2524" max="2524" width="13.75" style="13" customWidth="1"/>
    <col min="2525" max="2528" width="11.25" style="13" customWidth="1"/>
    <col min="2529" max="2529" width="11" style="13" customWidth="1"/>
    <col min="2530" max="2560" width="9" style="13"/>
    <col min="2561" max="2561" width="10.375" style="13" customWidth="1"/>
    <col min="2562" max="2562" width="4" style="13" customWidth="1"/>
    <col min="2563" max="2563" width="23.625" style="13" customWidth="1"/>
    <col min="2564" max="2567" width="10.75" style="13" customWidth="1"/>
    <col min="2568" max="2568" width="10.5" style="13" customWidth="1"/>
    <col min="2569" max="2776" width="9" style="13"/>
    <col min="2777" max="2777" width="5.875" style="13" customWidth="1"/>
    <col min="2778" max="2778" width="10.375" style="13" customWidth="1"/>
    <col min="2779" max="2779" width="15.25" style="13" customWidth="1"/>
    <col min="2780" max="2780" width="13.75" style="13" customWidth="1"/>
    <col min="2781" max="2784" width="11.25" style="13" customWidth="1"/>
    <col min="2785" max="2785" width="11" style="13" customWidth="1"/>
    <col min="2786" max="2816" width="9" style="13"/>
    <col min="2817" max="2817" width="10.375" style="13" customWidth="1"/>
    <col min="2818" max="2818" width="4" style="13" customWidth="1"/>
    <col min="2819" max="2819" width="23.625" style="13" customWidth="1"/>
    <col min="2820" max="2823" width="10.75" style="13" customWidth="1"/>
    <col min="2824" max="2824" width="10.5" style="13" customWidth="1"/>
    <col min="2825" max="3032" width="9" style="13"/>
    <col min="3033" max="3033" width="5.875" style="13" customWidth="1"/>
    <col min="3034" max="3034" width="10.375" style="13" customWidth="1"/>
    <col min="3035" max="3035" width="15.25" style="13" customWidth="1"/>
    <col min="3036" max="3036" width="13.75" style="13" customWidth="1"/>
    <col min="3037" max="3040" width="11.25" style="13" customWidth="1"/>
    <col min="3041" max="3041" width="11" style="13" customWidth="1"/>
    <col min="3042" max="3072" width="9" style="13"/>
    <col min="3073" max="3073" width="10.375" style="13" customWidth="1"/>
    <col min="3074" max="3074" width="4" style="13" customWidth="1"/>
    <col min="3075" max="3075" width="23.625" style="13" customWidth="1"/>
    <col min="3076" max="3079" width="10.75" style="13" customWidth="1"/>
    <col min="3080" max="3080" width="10.5" style="13" customWidth="1"/>
    <col min="3081" max="3288" width="9" style="13"/>
    <col min="3289" max="3289" width="5.875" style="13" customWidth="1"/>
    <col min="3290" max="3290" width="10.375" style="13" customWidth="1"/>
    <col min="3291" max="3291" width="15.25" style="13" customWidth="1"/>
    <col min="3292" max="3292" width="13.75" style="13" customWidth="1"/>
    <col min="3293" max="3296" width="11.25" style="13" customWidth="1"/>
    <col min="3297" max="3297" width="11" style="13" customWidth="1"/>
    <col min="3298" max="3328" width="9" style="13"/>
    <col min="3329" max="3329" width="10.375" style="13" customWidth="1"/>
    <col min="3330" max="3330" width="4" style="13" customWidth="1"/>
    <col min="3331" max="3331" width="23.625" style="13" customWidth="1"/>
    <col min="3332" max="3335" width="10.75" style="13" customWidth="1"/>
    <col min="3336" max="3336" width="10.5" style="13" customWidth="1"/>
    <col min="3337" max="3544" width="9" style="13"/>
    <col min="3545" max="3545" width="5.875" style="13" customWidth="1"/>
    <col min="3546" max="3546" width="10.375" style="13" customWidth="1"/>
    <col min="3547" max="3547" width="15.25" style="13" customWidth="1"/>
    <col min="3548" max="3548" width="13.75" style="13" customWidth="1"/>
    <col min="3549" max="3552" width="11.25" style="13" customWidth="1"/>
    <col min="3553" max="3553" width="11" style="13" customWidth="1"/>
    <col min="3554" max="3584" width="9" style="13"/>
    <col min="3585" max="3585" width="10.375" style="13" customWidth="1"/>
    <col min="3586" max="3586" width="4" style="13" customWidth="1"/>
    <col min="3587" max="3587" width="23.625" style="13" customWidth="1"/>
    <col min="3588" max="3591" width="10.75" style="13" customWidth="1"/>
    <col min="3592" max="3592" width="10.5" style="13" customWidth="1"/>
    <col min="3593" max="3800" width="9" style="13"/>
    <col min="3801" max="3801" width="5.875" style="13" customWidth="1"/>
    <col min="3802" max="3802" width="10.375" style="13" customWidth="1"/>
    <col min="3803" max="3803" width="15.25" style="13" customWidth="1"/>
    <col min="3804" max="3804" width="13.75" style="13" customWidth="1"/>
    <col min="3805" max="3808" width="11.25" style="13" customWidth="1"/>
    <col min="3809" max="3809" width="11" style="13" customWidth="1"/>
    <col min="3810" max="3840" width="9" style="13"/>
    <col min="3841" max="3841" width="10.375" style="13" customWidth="1"/>
    <col min="3842" max="3842" width="4" style="13" customWidth="1"/>
    <col min="3843" max="3843" width="23.625" style="13" customWidth="1"/>
    <col min="3844" max="3847" width="10.75" style="13" customWidth="1"/>
    <col min="3848" max="3848" width="10.5" style="13" customWidth="1"/>
    <col min="3849" max="4056" width="9" style="13"/>
    <col min="4057" max="4057" width="5.875" style="13" customWidth="1"/>
    <col min="4058" max="4058" width="10.375" style="13" customWidth="1"/>
    <col min="4059" max="4059" width="15.25" style="13" customWidth="1"/>
    <col min="4060" max="4060" width="13.75" style="13" customWidth="1"/>
    <col min="4061" max="4064" width="11.25" style="13" customWidth="1"/>
    <col min="4065" max="4065" width="11" style="13" customWidth="1"/>
    <col min="4066" max="4096" width="9" style="13"/>
    <col min="4097" max="4097" width="10.375" style="13" customWidth="1"/>
    <col min="4098" max="4098" width="4" style="13" customWidth="1"/>
    <col min="4099" max="4099" width="23.625" style="13" customWidth="1"/>
    <col min="4100" max="4103" width="10.75" style="13" customWidth="1"/>
    <col min="4104" max="4104" width="10.5" style="13" customWidth="1"/>
    <col min="4105" max="4312" width="9" style="13"/>
    <col min="4313" max="4313" width="5.875" style="13" customWidth="1"/>
    <col min="4314" max="4314" width="10.375" style="13" customWidth="1"/>
    <col min="4315" max="4315" width="15.25" style="13" customWidth="1"/>
    <col min="4316" max="4316" width="13.75" style="13" customWidth="1"/>
    <col min="4317" max="4320" width="11.25" style="13" customWidth="1"/>
    <col min="4321" max="4321" width="11" style="13" customWidth="1"/>
    <col min="4322" max="4352" width="9" style="13"/>
    <col min="4353" max="4353" width="10.375" style="13" customWidth="1"/>
    <col min="4354" max="4354" width="4" style="13" customWidth="1"/>
    <col min="4355" max="4355" width="23.625" style="13" customWidth="1"/>
    <col min="4356" max="4359" width="10.75" style="13" customWidth="1"/>
    <col min="4360" max="4360" width="10.5" style="13" customWidth="1"/>
    <col min="4361" max="4568" width="9" style="13"/>
    <col min="4569" max="4569" width="5.875" style="13" customWidth="1"/>
    <col min="4570" max="4570" width="10.375" style="13" customWidth="1"/>
    <col min="4571" max="4571" width="15.25" style="13" customWidth="1"/>
    <col min="4572" max="4572" width="13.75" style="13" customWidth="1"/>
    <col min="4573" max="4576" width="11.25" style="13" customWidth="1"/>
    <col min="4577" max="4577" width="11" style="13" customWidth="1"/>
    <col min="4578" max="4608" width="9" style="13"/>
    <col min="4609" max="4609" width="10.375" style="13" customWidth="1"/>
    <col min="4610" max="4610" width="4" style="13" customWidth="1"/>
    <col min="4611" max="4611" width="23.625" style="13" customWidth="1"/>
    <col min="4612" max="4615" width="10.75" style="13" customWidth="1"/>
    <col min="4616" max="4616" width="10.5" style="13" customWidth="1"/>
    <col min="4617" max="4824" width="9" style="13"/>
    <col min="4825" max="4825" width="5.875" style="13" customWidth="1"/>
    <col min="4826" max="4826" width="10.375" style="13" customWidth="1"/>
    <col min="4827" max="4827" width="15.25" style="13" customWidth="1"/>
    <col min="4828" max="4828" width="13.75" style="13" customWidth="1"/>
    <col min="4829" max="4832" width="11.25" style="13" customWidth="1"/>
    <col min="4833" max="4833" width="11" style="13" customWidth="1"/>
    <col min="4834" max="4864" width="9" style="13"/>
    <col min="4865" max="4865" width="10.375" style="13" customWidth="1"/>
    <col min="4866" max="4866" width="4" style="13" customWidth="1"/>
    <col min="4867" max="4867" width="23.625" style="13" customWidth="1"/>
    <col min="4868" max="4871" width="10.75" style="13" customWidth="1"/>
    <col min="4872" max="4872" width="10.5" style="13" customWidth="1"/>
    <col min="4873" max="5080" width="9" style="13"/>
    <col min="5081" max="5081" width="5.875" style="13" customWidth="1"/>
    <col min="5082" max="5082" width="10.375" style="13" customWidth="1"/>
    <col min="5083" max="5083" width="15.25" style="13" customWidth="1"/>
    <col min="5084" max="5084" width="13.75" style="13" customWidth="1"/>
    <col min="5085" max="5088" width="11.25" style="13" customWidth="1"/>
    <col min="5089" max="5089" width="11" style="13" customWidth="1"/>
    <col min="5090" max="5120" width="9" style="13"/>
    <col min="5121" max="5121" width="10.375" style="13" customWidth="1"/>
    <col min="5122" max="5122" width="4" style="13" customWidth="1"/>
    <col min="5123" max="5123" width="23.625" style="13" customWidth="1"/>
    <col min="5124" max="5127" width="10.75" style="13" customWidth="1"/>
    <col min="5128" max="5128" width="10.5" style="13" customWidth="1"/>
    <col min="5129" max="5336" width="9" style="13"/>
    <col min="5337" max="5337" width="5.875" style="13" customWidth="1"/>
    <col min="5338" max="5338" width="10.375" style="13" customWidth="1"/>
    <col min="5339" max="5339" width="15.25" style="13" customWidth="1"/>
    <col min="5340" max="5340" width="13.75" style="13" customWidth="1"/>
    <col min="5341" max="5344" width="11.25" style="13" customWidth="1"/>
    <col min="5345" max="5345" width="11" style="13" customWidth="1"/>
    <col min="5346" max="5376" width="9" style="13"/>
    <col min="5377" max="5377" width="10.375" style="13" customWidth="1"/>
    <col min="5378" max="5378" width="4" style="13" customWidth="1"/>
    <col min="5379" max="5379" width="23.625" style="13" customWidth="1"/>
    <col min="5380" max="5383" width="10.75" style="13" customWidth="1"/>
    <col min="5384" max="5384" width="10.5" style="13" customWidth="1"/>
    <col min="5385" max="5592" width="9" style="13"/>
    <col min="5593" max="5593" width="5.875" style="13" customWidth="1"/>
    <col min="5594" max="5594" width="10.375" style="13" customWidth="1"/>
    <col min="5595" max="5595" width="15.25" style="13" customWidth="1"/>
    <col min="5596" max="5596" width="13.75" style="13" customWidth="1"/>
    <col min="5597" max="5600" width="11.25" style="13" customWidth="1"/>
    <col min="5601" max="5601" width="11" style="13" customWidth="1"/>
    <col min="5602" max="5632" width="9" style="13"/>
    <col min="5633" max="5633" width="10.375" style="13" customWidth="1"/>
    <col min="5634" max="5634" width="4" style="13" customWidth="1"/>
    <col min="5635" max="5635" width="23.625" style="13" customWidth="1"/>
    <col min="5636" max="5639" width="10.75" style="13" customWidth="1"/>
    <col min="5640" max="5640" width="10.5" style="13" customWidth="1"/>
    <col min="5641" max="5848" width="9" style="13"/>
    <col min="5849" max="5849" width="5.875" style="13" customWidth="1"/>
    <col min="5850" max="5850" width="10.375" style="13" customWidth="1"/>
    <col min="5851" max="5851" width="15.25" style="13" customWidth="1"/>
    <col min="5852" max="5852" width="13.75" style="13" customWidth="1"/>
    <col min="5853" max="5856" width="11.25" style="13" customWidth="1"/>
    <col min="5857" max="5857" width="11" style="13" customWidth="1"/>
    <col min="5858" max="5888" width="9" style="13"/>
    <col min="5889" max="5889" width="10.375" style="13" customWidth="1"/>
    <col min="5890" max="5890" width="4" style="13" customWidth="1"/>
    <col min="5891" max="5891" width="23.625" style="13" customWidth="1"/>
    <col min="5892" max="5895" width="10.75" style="13" customWidth="1"/>
    <col min="5896" max="5896" width="10.5" style="13" customWidth="1"/>
    <col min="5897" max="6104" width="9" style="13"/>
    <col min="6105" max="6105" width="5.875" style="13" customWidth="1"/>
    <col min="6106" max="6106" width="10.375" style="13" customWidth="1"/>
    <col min="6107" max="6107" width="15.25" style="13" customWidth="1"/>
    <col min="6108" max="6108" width="13.75" style="13" customWidth="1"/>
    <col min="6109" max="6112" width="11.25" style="13" customWidth="1"/>
    <col min="6113" max="6113" width="11" style="13" customWidth="1"/>
    <col min="6114" max="6144" width="9" style="13"/>
    <col min="6145" max="6145" width="10.375" style="13" customWidth="1"/>
    <col min="6146" max="6146" width="4" style="13" customWidth="1"/>
    <col min="6147" max="6147" width="23.625" style="13" customWidth="1"/>
    <col min="6148" max="6151" width="10.75" style="13" customWidth="1"/>
    <col min="6152" max="6152" width="10.5" style="13" customWidth="1"/>
    <col min="6153" max="6360" width="9" style="13"/>
    <col min="6361" max="6361" width="5.875" style="13" customWidth="1"/>
    <col min="6362" max="6362" width="10.375" style="13" customWidth="1"/>
    <col min="6363" max="6363" width="15.25" style="13" customWidth="1"/>
    <col min="6364" max="6364" width="13.75" style="13" customWidth="1"/>
    <col min="6365" max="6368" width="11.25" style="13" customWidth="1"/>
    <col min="6369" max="6369" width="11" style="13" customWidth="1"/>
    <col min="6370" max="6400" width="9" style="13"/>
    <col min="6401" max="6401" width="10.375" style="13" customWidth="1"/>
    <col min="6402" max="6402" width="4" style="13" customWidth="1"/>
    <col min="6403" max="6403" width="23.625" style="13" customWidth="1"/>
    <col min="6404" max="6407" width="10.75" style="13" customWidth="1"/>
    <col min="6408" max="6408" width="10.5" style="13" customWidth="1"/>
    <col min="6409" max="6616" width="9" style="13"/>
    <col min="6617" max="6617" width="5.875" style="13" customWidth="1"/>
    <col min="6618" max="6618" width="10.375" style="13" customWidth="1"/>
    <col min="6619" max="6619" width="15.25" style="13" customWidth="1"/>
    <col min="6620" max="6620" width="13.75" style="13" customWidth="1"/>
    <col min="6621" max="6624" width="11.25" style="13" customWidth="1"/>
    <col min="6625" max="6625" width="11" style="13" customWidth="1"/>
    <col min="6626" max="6656" width="9" style="13"/>
    <col min="6657" max="6657" width="10.375" style="13" customWidth="1"/>
    <col min="6658" max="6658" width="4" style="13" customWidth="1"/>
    <col min="6659" max="6659" width="23.625" style="13" customWidth="1"/>
    <col min="6660" max="6663" width="10.75" style="13" customWidth="1"/>
    <col min="6664" max="6664" width="10.5" style="13" customWidth="1"/>
    <col min="6665" max="6872" width="9" style="13"/>
    <col min="6873" max="6873" width="5.875" style="13" customWidth="1"/>
    <col min="6874" max="6874" width="10.375" style="13" customWidth="1"/>
    <col min="6875" max="6875" width="15.25" style="13" customWidth="1"/>
    <col min="6876" max="6876" width="13.75" style="13" customWidth="1"/>
    <col min="6877" max="6880" width="11.25" style="13" customWidth="1"/>
    <col min="6881" max="6881" width="11" style="13" customWidth="1"/>
    <col min="6882" max="6912" width="9" style="13"/>
    <col min="6913" max="6913" width="10.375" style="13" customWidth="1"/>
    <col min="6914" max="6914" width="4" style="13" customWidth="1"/>
    <col min="6915" max="6915" width="23.625" style="13" customWidth="1"/>
    <col min="6916" max="6919" width="10.75" style="13" customWidth="1"/>
    <col min="6920" max="6920" width="10.5" style="13" customWidth="1"/>
    <col min="6921" max="7128" width="9" style="13"/>
    <col min="7129" max="7129" width="5.875" style="13" customWidth="1"/>
    <col min="7130" max="7130" width="10.375" style="13" customWidth="1"/>
    <col min="7131" max="7131" width="15.25" style="13" customWidth="1"/>
    <col min="7132" max="7132" width="13.75" style="13" customWidth="1"/>
    <col min="7133" max="7136" width="11.25" style="13" customWidth="1"/>
    <col min="7137" max="7137" width="11" style="13" customWidth="1"/>
    <col min="7138" max="7168" width="9" style="13"/>
    <col min="7169" max="7169" width="10.375" style="13" customWidth="1"/>
    <col min="7170" max="7170" width="4" style="13" customWidth="1"/>
    <col min="7171" max="7171" width="23.625" style="13" customWidth="1"/>
    <col min="7172" max="7175" width="10.75" style="13" customWidth="1"/>
    <col min="7176" max="7176" width="10.5" style="13" customWidth="1"/>
    <col min="7177" max="7384" width="9" style="13"/>
    <col min="7385" max="7385" width="5.875" style="13" customWidth="1"/>
    <col min="7386" max="7386" width="10.375" style="13" customWidth="1"/>
    <col min="7387" max="7387" width="15.25" style="13" customWidth="1"/>
    <col min="7388" max="7388" width="13.75" style="13" customWidth="1"/>
    <col min="7389" max="7392" width="11.25" style="13" customWidth="1"/>
    <col min="7393" max="7393" width="11" style="13" customWidth="1"/>
    <col min="7394" max="7424" width="9" style="13"/>
    <col min="7425" max="7425" width="10.375" style="13" customWidth="1"/>
    <col min="7426" max="7426" width="4" style="13" customWidth="1"/>
    <col min="7427" max="7427" width="23.625" style="13" customWidth="1"/>
    <col min="7428" max="7431" width="10.75" style="13" customWidth="1"/>
    <col min="7432" max="7432" width="10.5" style="13" customWidth="1"/>
    <col min="7433" max="7640" width="9" style="13"/>
    <col min="7641" max="7641" width="5.875" style="13" customWidth="1"/>
    <col min="7642" max="7642" width="10.375" style="13" customWidth="1"/>
    <col min="7643" max="7643" width="15.25" style="13" customWidth="1"/>
    <col min="7644" max="7644" width="13.75" style="13" customWidth="1"/>
    <col min="7645" max="7648" width="11.25" style="13" customWidth="1"/>
    <col min="7649" max="7649" width="11" style="13" customWidth="1"/>
    <col min="7650" max="7680" width="9" style="13"/>
    <col min="7681" max="7681" width="10.375" style="13" customWidth="1"/>
    <col min="7682" max="7682" width="4" style="13" customWidth="1"/>
    <col min="7683" max="7683" width="23.625" style="13" customWidth="1"/>
    <col min="7684" max="7687" width="10.75" style="13" customWidth="1"/>
    <col min="7688" max="7688" width="10.5" style="13" customWidth="1"/>
    <col min="7689" max="7896" width="9" style="13"/>
    <col min="7897" max="7897" width="5.875" style="13" customWidth="1"/>
    <col min="7898" max="7898" width="10.375" style="13" customWidth="1"/>
    <col min="7899" max="7899" width="15.25" style="13" customWidth="1"/>
    <col min="7900" max="7900" width="13.75" style="13" customWidth="1"/>
    <col min="7901" max="7904" width="11.25" style="13" customWidth="1"/>
    <col min="7905" max="7905" width="11" style="13" customWidth="1"/>
    <col min="7906" max="7936" width="9" style="13"/>
    <col min="7937" max="7937" width="10.375" style="13" customWidth="1"/>
    <col min="7938" max="7938" width="4" style="13" customWidth="1"/>
    <col min="7939" max="7939" width="23.625" style="13" customWidth="1"/>
    <col min="7940" max="7943" width="10.75" style="13" customWidth="1"/>
    <col min="7944" max="7944" width="10.5" style="13" customWidth="1"/>
    <col min="7945" max="8152" width="9" style="13"/>
    <col min="8153" max="8153" width="5.875" style="13" customWidth="1"/>
    <col min="8154" max="8154" width="10.375" style="13" customWidth="1"/>
    <col min="8155" max="8155" width="15.25" style="13" customWidth="1"/>
    <col min="8156" max="8156" width="13.75" style="13" customWidth="1"/>
    <col min="8157" max="8160" width="11.25" style="13" customWidth="1"/>
    <col min="8161" max="8161" width="11" style="13" customWidth="1"/>
    <col min="8162" max="8192" width="9" style="13"/>
    <col min="8193" max="8193" width="10.375" style="13" customWidth="1"/>
    <col min="8194" max="8194" width="4" style="13" customWidth="1"/>
    <col min="8195" max="8195" width="23.625" style="13" customWidth="1"/>
    <col min="8196" max="8199" width="10.75" style="13" customWidth="1"/>
    <col min="8200" max="8200" width="10.5" style="13" customWidth="1"/>
    <col min="8201" max="8408" width="9" style="13"/>
    <col min="8409" max="8409" width="5.875" style="13" customWidth="1"/>
    <col min="8410" max="8410" width="10.375" style="13" customWidth="1"/>
    <col min="8411" max="8411" width="15.25" style="13" customWidth="1"/>
    <col min="8412" max="8412" width="13.75" style="13" customWidth="1"/>
    <col min="8413" max="8416" width="11.25" style="13" customWidth="1"/>
    <col min="8417" max="8417" width="11" style="13" customWidth="1"/>
    <col min="8418" max="8448" width="9" style="13"/>
    <col min="8449" max="8449" width="10.375" style="13" customWidth="1"/>
    <col min="8450" max="8450" width="4" style="13" customWidth="1"/>
    <col min="8451" max="8451" width="23.625" style="13" customWidth="1"/>
    <col min="8452" max="8455" width="10.75" style="13" customWidth="1"/>
    <col min="8456" max="8456" width="10.5" style="13" customWidth="1"/>
    <col min="8457" max="8664" width="9" style="13"/>
    <col min="8665" max="8665" width="5.875" style="13" customWidth="1"/>
    <col min="8666" max="8666" width="10.375" style="13" customWidth="1"/>
    <col min="8667" max="8667" width="15.25" style="13" customWidth="1"/>
    <col min="8668" max="8668" width="13.75" style="13" customWidth="1"/>
    <col min="8669" max="8672" width="11.25" style="13" customWidth="1"/>
    <col min="8673" max="8673" width="11" style="13" customWidth="1"/>
    <col min="8674" max="8704" width="9" style="13"/>
    <col min="8705" max="8705" width="10.375" style="13" customWidth="1"/>
    <col min="8706" max="8706" width="4" style="13" customWidth="1"/>
    <col min="8707" max="8707" width="23.625" style="13" customWidth="1"/>
    <col min="8708" max="8711" width="10.75" style="13" customWidth="1"/>
    <col min="8712" max="8712" width="10.5" style="13" customWidth="1"/>
    <col min="8713" max="8920" width="9" style="13"/>
    <col min="8921" max="8921" width="5.875" style="13" customWidth="1"/>
    <col min="8922" max="8922" width="10.375" style="13" customWidth="1"/>
    <col min="8923" max="8923" width="15.25" style="13" customWidth="1"/>
    <col min="8924" max="8924" width="13.75" style="13" customWidth="1"/>
    <col min="8925" max="8928" width="11.25" style="13" customWidth="1"/>
    <col min="8929" max="8929" width="11" style="13" customWidth="1"/>
    <col min="8930" max="8960" width="9" style="13"/>
    <col min="8961" max="8961" width="10.375" style="13" customWidth="1"/>
    <col min="8962" max="8962" width="4" style="13" customWidth="1"/>
    <col min="8963" max="8963" width="23.625" style="13" customWidth="1"/>
    <col min="8964" max="8967" width="10.75" style="13" customWidth="1"/>
    <col min="8968" max="8968" width="10.5" style="13" customWidth="1"/>
    <col min="8969" max="9176" width="9" style="13"/>
    <col min="9177" max="9177" width="5.875" style="13" customWidth="1"/>
    <col min="9178" max="9178" width="10.375" style="13" customWidth="1"/>
    <col min="9179" max="9179" width="15.25" style="13" customWidth="1"/>
    <col min="9180" max="9180" width="13.75" style="13" customWidth="1"/>
    <col min="9181" max="9184" width="11.25" style="13" customWidth="1"/>
    <col min="9185" max="9185" width="11" style="13" customWidth="1"/>
    <col min="9186" max="9216" width="9" style="13"/>
    <col min="9217" max="9217" width="10.375" style="13" customWidth="1"/>
    <col min="9218" max="9218" width="4" style="13" customWidth="1"/>
    <col min="9219" max="9219" width="23.625" style="13" customWidth="1"/>
    <col min="9220" max="9223" width="10.75" style="13" customWidth="1"/>
    <col min="9224" max="9224" width="10.5" style="13" customWidth="1"/>
    <col min="9225" max="9432" width="9" style="13"/>
    <col min="9433" max="9433" width="5.875" style="13" customWidth="1"/>
    <col min="9434" max="9434" width="10.375" style="13" customWidth="1"/>
    <col min="9435" max="9435" width="15.25" style="13" customWidth="1"/>
    <col min="9436" max="9436" width="13.75" style="13" customWidth="1"/>
    <col min="9437" max="9440" width="11.25" style="13" customWidth="1"/>
    <col min="9441" max="9441" width="11" style="13" customWidth="1"/>
    <col min="9442" max="9472" width="9" style="13"/>
    <col min="9473" max="9473" width="10.375" style="13" customWidth="1"/>
    <col min="9474" max="9474" width="4" style="13" customWidth="1"/>
    <col min="9475" max="9475" width="23.625" style="13" customWidth="1"/>
    <col min="9476" max="9479" width="10.75" style="13" customWidth="1"/>
    <col min="9480" max="9480" width="10.5" style="13" customWidth="1"/>
    <col min="9481" max="9688" width="9" style="13"/>
    <col min="9689" max="9689" width="5.875" style="13" customWidth="1"/>
    <col min="9690" max="9690" width="10.375" style="13" customWidth="1"/>
    <col min="9691" max="9691" width="15.25" style="13" customWidth="1"/>
    <col min="9692" max="9692" width="13.75" style="13" customWidth="1"/>
    <col min="9693" max="9696" width="11.25" style="13" customWidth="1"/>
    <col min="9697" max="9697" width="11" style="13" customWidth="1"/>
    <col min="9698" max="9728" width="9" style="13"/>
    <col min="9729" max="9729" width="10.375" style="13" customWidth="1"/>
    <col min="9730" max="9730" width="4" style="13" customWidth="1"/>
    <col min="9731" max="9731" width="23.625" style="13" customWidth="1"/>
    <col min="9732" max="9735" width="10.75" style="13" customWidth="1"/>
    <col min="9736" max="9736" width="10.5" style="13" customWidth="1"/>
    <col min="9737" max="9944" width="9" style="13"/>
    <col min="9945" max="9945" width="5.875" style="13" customWidth="1"/>
    <col min="9946" max="9946" width="10.375" style="13" customWidth="1"/>
    <col min="9947" max="9947" width="15.25" style="13" customWidth="1"/>
    <col min="9948" max="9948" width="13.75" style="13" customWidth="1"/>
    <col min="9949" max="9952" width="11.25" style="13" customWidth="1"/>
    <col min="9953" max="9953" width="11" style="13" customWidth="1"/>
    <col min="9954" max="9984" width="9" style="13"/>
    <col min="9985" max="9985" width="10.375" style="13" customWidth="1"/>
    <col min="9986" max="9986" width="4" style="13" customWidth="1"/>
    <col min="9987" max="9987" width="23.625" style="13" customWidth="1"/>
    <col min="9988" max="9991" width="10.75" style="13" customWidth="1"/>
    <col min="9992" max="9992" width="10.5" style="13" customWidth="1"/>
    <col min="9993" max="10200" width="9" style="13"/>
    <col min="10201" max="10201" width="5.875" style="13" customWidth="1"/>
    <col min="10202" max="10202" width="10.375" style="13" customWidth="1"/>
    <col min="10203" max="10203" width="15.25" style="13" customWidth="1"/>
    <col min="10204" max="10204" width="13.75" style="13" customWidth="1"/>
    <col min="10205" max="10208" width="11.25" style="13" customWidth="1"/>
    <col min="10209" max="10209" width="11" style="13" customWidth="1"/>
    <col min="10210" max="10240" width="9" style="13"/>
    <col min="10241" max="10241" width="10.375" style="13" customWidth="1"/>
    <col min="10242" max="10242" width="4" style="13" customWidth="1"/>
    <col min="10243" max="10243" width="23.625" style="13" customWidth="1"/>
    <col min="10244" max="10247" width="10.75" style="13" customWidth="1"/>
    <col min="10248" max="10248" width="10.5" style="13" customWidth="1"/>
    <col min="10249" max="10456" width="9" style="13"/>
    <col min="10457" max="10457" width="5.875" style="13" customWidth="1"/>
    <col min="10458" max="10458" width="10.375" style="13" customWidth="1"/>
    <col min="10459" max="10459" width="15.25" style="13" customWidth="1"/>
    <col min="10460" max="10460" width="13.75" style="13" customWidth="1"/>
    <col min="10461" max="10464" width="11.25" style="13" customWidth="1"/>
    <col min="10465" max="10465" width="11" style="13" customWidth="1"/>
    <col min="10466" max="10496" width="9" style="13"/>
    <col min="10497" max="10497" width="10.375" style="13" customWidth="1"/>
    <col min="10498" max="10498" width="4" style="13" customWidth="1"/>
    <col min="10499" max="10499" width="23.625" style="13" customWidth="1"/>
    <col min="10500" max="10503" width="10.75" style="13" customWidth="1"/>
    <col min="10504" max="10504" width="10.5" style="13" customWidth="1"/>
    <col min="10505" max="10712" width="9" style="13"/>
    <col min="10713" max="10713" width="5.875" style="13" customWidth="1"/>
    <col min="10714" max="10714" width="10.375" style="13" customWidth="1"/>
    <col min="10715" max="10715" width="15.25" style="13" customWidth="1"/>
    <col min="10716" max="10716" width="13.75" style="13" customWidth="1"/>
    <col min="10717" max="10720" width="11.25" style="13" customWidth="1"/>
    <col min="10721" max="10721" width="11" style="13" customWidth="1"/>
    <col min="10722" max="10752" width="9" style="13"/>
    <col min="10753" max="10753" width="10.375" style="13" customWidth="1"/>
    <col min="10754" max="10754" width="4" style="13" customWidth="1"/>
    <col min="10755" max="10755" width="23.625" style="13" customWidth="1"/>
    <col min="10756" max="10759" width="10.75" style="13" customWidth="1"/>
    <col min="10760" max="10760" width="10.5" style="13" customWidth="1"/>
    <col min="10761" max="10968" width="9" style="13"/>
    <col min="10969" max="10969" width="5.875" style="13" customWidth="1"/>
    <col min="10970" max="10970" width="10.375" style="13" customWidth="1"/>
    <col min="10971" max="10971" width="15.25" style="13" customWidth="1"/>
    <col min="10972" max="10972" width="13.75" style="13" customWidth="1"/>
    <col min="10973" max="10976" width="11.25" style="13" customWidth="1"/>
    <col min="10977" max="10977" width="11" style="13" customWidth="1"/>
    <col min="10978" max="11008" width="9" style="13"/>
    <col min="11009" max="11009" width="10.375" style="13" customWidth="1"/>
    <col min="11010" max="11010" width="4" style="13" customWidth="1"/>
    <col min="11011" max="11011" width="23.625" style="13" customWidth="1"/>
    <col min="11012" max="11015" width="10.75" style="13" customWidth="1"/>
    <col min="11016" max="11016" width="10.5" style="13" customWidth="1"/>
    <col min="11017" max="11224" width="9" style="13"/>
    <col min="11225" max="11225" width="5.875" style="13" customWidth="1"/>
    <col min="11226" max="11226" width="10.375" style="13" customWidth="1"/>
    <col min="11227" max="11227" width="15.25" style="13" customWidth="1"/>
    <col min="11228" max="11228" width="13.75" style="13" customWidth="1"/>
    <col min="11229" max="11232" width="11.25" style="13" customWidth="1"/>
    <col min="11233" max="11233" width="11" style="13" customWidth="1"/>
    <col min="11234" max="11264" width="9" style="13"/>
    <col min="11265" max="11265" width="10.375" style="13" customWidth="1"/>
    <col min="11266" max="11266" width="4" style="13" customWidth="1"/>
    <col min="11267" max="11267" width="23.625" style="13" customWidth="1"/>
    <col min="11268" max="11271" width="10.75" style="13" customWidth="1"/>
    <col min="11272" max="11272" width="10.5" style="13" customWidth="1"/>
    <col min="11273" max="11480" width="9" style="13"/>
    <col min="11481" max="11481" width="5.875" style="13" customWidth="1"/>
    <col min="11482" max="11482" width="10.375" style="13" customWidth="1"/>
    <col min="11483" max="11483" width="15.25" style="13" customWidth="1"/>
    <col min="11484" max="11484" width="13.75" style="13" customWidth="1"/>
    <col min="11485" max="11488" width="11.25" style="13" customWidth="1"/>
    <col min="11489" max="11489" width="11" style="13" customWidth="1"/>
    <col min="11490" max="11520" width="9" style="13"/>
    <col min="11521" max="11521" width="10.375" style="13" customWidth="1"/>
    <col min="11522" max="11522" width="4" style="13" customWidth="1"/>
    <col min="11523" max="11523" width="23.625" style="13" customWidth="1"/>
    <col min="11524" max="11527" width="10.75" style="13" customWidth="1"/>
    <col min="11528" max="11528" width="10.5" style="13" customWidth="1"/>
    <col min="11529" max="11736" width="9" style="13"/>
    <col min="11737" max="11737" width="5.875" style="13" customWidth="1"/>
    <col min="11738" max="11738" width="10.375" style="13" customWidth="1"/>
    <col min="11739" max="11739" width="15.25" style="13" customWidth="1"/>
    <col min="11740" max="11740" width="13.75" style="13" customWidth="1"/>
    <col min="11741" max="11744" width="11.25" style="13" customWidth="1"/>
    <col min="11745" max="11745" width="11" style="13" customWidth="1"/>
    <col min="11746" max="11776" width="9" style="13"/>
    <col min="11777" max="11777" width="10.375" style="13" customWidth="1"/>
    <col min="11778" max="11778" width="4" style="13" customWidth="1"/>
    <col min="11779" max="11779" width="23.625" style="13" customWidth="1"/>
    <col min="11780" max="11783" width="10.75" style="13" customWidth="1"/>
    <col min="11784" max="11784" width="10.5" style="13" customWidth="1"/>
    <col min="11785" max="11992" width="9" style="13"/>
    <col min="11993" max="11993" width="5.875" style="13" customWidth="1"/>
    <col min="11994" max="11994" width="10.375" style="13" customWidth="1"/>
    <col min="11995" max="11995" width="15.25" style="13" customWidth="1"/>
    <col min="11996" max="11996" width="13.75" style="13" customWidth="1"/>
    <col min="11997" max="12000" width="11.25" style="13" customWidth="1"/>
    <col min="12001" max="12001" width="11" style="13" customWidth="1"/>
    <col min="12002" max="12032" width="9" style="13"/>
    <col min="12033" max="12033" width="10.375" style="13" customWidth="1"/>
    <col min="12034" max="12034" width="4" style="13" customWidth="1"/>
    <col min="12035" max="12035" width="23.625" style="13" customWidth="1"/>
    <col min="12036" max="12039" width="10.75" style="13" customWidth="1"/>
    <col min="12040" max="12040" width="10.5" style="13" customWidth="1"/>
    <col min="12041" max="12248" width="9" style="13"/>
    <col min="12249" max="12249" width="5.875" style="13" customWidth="1"/>
    <col min="12250" max="12250" width="10.375" style="13" customWidth="1"/>
    <col min="12251" max="12251" width="15.25" style="13" customWidth="1"/>
    <col min="12252" max="12252" width="13.75" style="13" customWidth="1"/>
    <col min="12253" max="12256" width="11.25" style="13" customWidth="1"/>
    <col min="12257" max="12257" width="11" style="13" customWidth="1"/>
    <col min="12258" max="12288" width="9" style="13"/>
    <col min="12289" max="12289" width="10.375" style="13" customWidth="1"/>
    <col min="12290" max="12290" width="4" style="13" customWidth="1"/>
    <col min="12291" max="12291" width="23.625" style="13" customWidth="1"/>
    <col min="12292" max="12295" width="10.75" style="13" customWidth="1"/>
    <col min="12296" max="12296" width="10.5" style="13" customWidth="1"/>
    <col min="12297" max="12504" width="9" style="13"/>
    <col min="12505" max="12505" width="5.875" style="13" customWidth="1"/>
    <col min="12506" max="12506" width="10.375" style="13" customWidth="1"/>
    <col min="12507" max="12507" width="15.25" style="13" customWidth="1"/>
    <col min="12508" max="12508" width="13.75" style="13" customWidth="1"/>
    <col min="12509" max="12512" width="11.25" style="13" customWidth="1"/>
    <col min="12513" max="12513" width="11" style="13" customWidth="1"/>
    <col min="12514" max="12544" width="9" style="13"/>
    <col min="12545" max="12545" width="10.375" style="13" customWidth="1"/>
    <col min="12546" max="12546" width="4" style="13" customWidth="1"/>
    <col min="12547" max="12547" width="23.625" style="13" customWidth="1"/>
    <col min="12548" max="12551" width="10.75" style="13" customWidth="1"/>
    <col min="12552" max="12552" width="10.5" style="13" customWidth="1"/>
    <col min="12553" max="12760" width="9" style="13"/>
    <col min="12761" max="12761" width="5.875" style="13" customWidth="1"/>
    <col min="12762" max="12762" width="10.375" style="13" customWidth="1"/>
    <col min="12763" max="12763" width="15.25" style="13" customWidth="1"/>
    <col min="12764" max="12764" width="13.75" style="13" customWidth="1"/>
    <col min="12765" max="12768" width="11.25" style="13" customWidth="1"/>
    <col min="12769" max="12769" width="11" style="13" customWidth="1"/>
    <col min="12770" max="12800" width="9" style="13"/>
    <col min="12801" max="12801" width="10.375" style="13" customWidth="1"/>
    <col min="12802" max="12802" width="4" style="13" customWidth="1"/>
    <col min="12803" max="12803" width="23.625" style="13" customWidth="1"/>
    <col min="12804" max="12807" width="10.75" style="13" customWidth="1"/>
    <col min="12808" max="12808" width="10.5" style="13" customWidth="1"/>
    <col min="12809" max="13016" width="9" style="13"/>
    <col min="13017" max="13017" width="5.875" style="13" customWidth="1"/>
    <col min="13018" max="13018" width="10.375" style="13" customWidth="1"/>
    <col min="13019" max="13019" width="15.25" style="13" customWidth="1"/>
    <col min="13020" max="13020" width="13.75" style="13" customWidth="1"/>
    <col min="13021" max="13024" width="11.25" style="13" customWidth="1"/>
    <col min="13025" max="13025" width="11" style="13" customWidth="1"/>
    <col min="13026" max="13056" width="9" style="13"/>
    <col min="13057" max="13057" width="10.375" style="13" customWidth="1"/>
    <col min="13058" max="13058" width="4" style="13" customWidth="1"/>
    <col min="13059" max="13059" width="23.625" style="13" customWidth="1"/>
    <col min="13060" max="13063" width="10.75" style="13" customWidth="1"/>
    <col min="13064" max="13064" width="10.5" style="13" customWidth="1"/>
    <col min="13065" max="13272" width="9" style="13"/>
    <col min="13273" max="13273" width="5.875" style="13" customWidth="1"/>
    <col min="13274" max="13274" width="10.375" style="13" customWidth="1"/>
    <col min="13275" max="13275" width="15.25" style="13" customWidth="1"/>
    <col min="13276" max="13276" width="13.75" style="13" customWidth="1"/>
    <col min="13277" max="13280" width="11.25" style="13" customWidth="1"/>
    <col min="13281" max="13281" width="11" style="13" customWidth="1"/>
    <col min="13282" max="13312" width="9" style="13"/>
    <col min="13313" max="13313" width="10.375" style="13" customWidth="1"/>
    <col min="13314" max="13314" width="4" style="13" customWidth="1"/>
    <col min="13315" max="13315" width="23.625" style="13" customWidth="1"/>
    <col min="13316" max="13319" width="10.75" style="13" customWidth="1"/>
    <col min="13320" max="13320" width="10.5" style="13" customWidth="1"/>
    <col min="13321" max="13528" width="9" style="13"/>
    <col min="13529" max="13529" width="5.875" style="13" customWidth="1"/>
    <col min="13530" max="13530" width="10.375" style="13" customWidth="1"/>
    <col min="13531" max="13531" width="15.25" style="13" customWidth="1"/>
    <col min="13532" max="13532" width="13.75" style="13" customWidth="1"/>
    <col min="13533" max="13536" width="11.25" style="13" customWidth="1"/>
    <col min="13537" max="13537" width="11" style="13" customWidth="1"/>
    <col min="13538" max="13568" width="9" style="13"/>
    <col min="13569" max="13569" width="10.375" style="13" customWidth="1"/>
    <col min="13570" max="13570" width="4" style="13" customWidth="1"/>
    <col min="13571" max="13571" width="23.625" style="13" customWidth="1"/>
    <col min="13572" max="13575" width="10.75" style="13" customWidth="1"/>
    <col min="13576" max="13576" width="10.5" style="13" customWidth="1"/>
    <col min="13577" max="13784" width="9" style="13"/>
    <col min="13785" max="13785" width="5.875" style="13" customWidth="1"/>
    <col min="13786" max="13786" width="10.375" style="13" customWidth="1"/>
    <col min="13787" max="13787" width="15.25" style="13" customWidth="1"/>
    <col min="13788" max="13788" width="13.75" style="13" customWidth="1"/>
    <col min="13789" max="13792" width="11.25" style="13" customWidth="1"/>
    <col min="13793" max="13793" width="11" style="13" customWidth="1"/>
    <col min="13794" max="13824" width="9" style="13"/>
    <col min="13825" max="13825" width="10.375" style="13" customWidth="1"/>
    <col min="13826" max="13826" width="4" style="13" customWidth="1"/>
    <col min="13827" max="13827" width="23.625" style="13" customWidth="1"/>
    <col min="13828" max="13831" width="10.75" style="13" customWidth="1"/>
    <col min="13832" max="13832" width="10.5" style="13" customWidth="1"/>
    <col min="13833" max="14040" width="9" style="13"/>
    <col min="14041" max="14041" width="5.875" style="13" customWidth="1"/>
    <col min="14042" max="14042" width="10.375" style="13" customWidth="1"/>
    <col min="14043" max="14043" width="15.25" style="13" customWidth="1"/>
    <col min="14044" max="14044" width="13.75" style="13" customWidth="1"/>
    <col min="14045" max="14048" width="11.25" style="13" customWidth="1"/>
    <col min="14049" max="14049" width="11" style="13" customWidth="1"/>
    <col min="14050" max="14080" width="9" style="13"/>
    <col min="14081" max="14081" width="10.375" style="13" customWidth="1"/>
    <col min="14082" max="14082" width="4" style="13" customWidth="1"/>
    <col min="14083" max="14083" width="23.625" style="13" customWidth="1"/>
    <col min="14084" max="14087" width="10.75" style="13" customWidth="1"/>
    <col min="14088" max="14088" width="10.5" style="13" customWidth="1"/>
    <col min="14089" max="14296" width="9" style="13"/>
    <col min="14297" max="14297" width="5.875" style="13" customWidth="1"/>
    <col min="14298" max="14298" width="10.375" style="13" customWidth="1"/>
    <col min="14299" max="14299" width="15.25" style="13" customWidth="1"/>
    <col min="14300" max="14300" width="13.75" style="13" customWidth="1"/>
    <col min="14301" max="14304" width="11.25" style="13" customWidth="1"/>
    <col min="14305" max="14305" width="11" style="13" customWidth="1"/>
    <col min="14306" max="14336" width="9" style="13"/>
    <col min="14337" max="14337" width="10.375" style="13" customWidth="1"/>
    <col min="14338" max="14338" width="4" style="13" customWidth="1"/>
    <col min="14339" max="14339" width="23.625" style="13" customWidth="1"/>
    <col min="14340" max="14343" width="10.75" style="13" customWidth="1"/>
    <col min="14344" max="14344" width="10.5" style="13" customWidth="1"/>
    <col min="14345" max="14552" width="9" style="13"/>
    <col min="14553" max="14553" width="5.875" style="13" customWidth="1"/>
    <col min="14554" max="14554" width="10.375" style="13" customWidth="1"/>
    <col min="14555" max="14555" width="15.25" style="13" customWidth="1"/>
    <col min="14556" max="14556" width="13.75" style="13" customWidth="1"/>
    <col min="14557" max="14560" width="11.25" style="13" customWidth="1"/>
    <col min="14561" max="14561" width="11" style="13" customWidth="1"/>
    <col min="14562" max="14592" width="9" style="13"/>
    <col min="14593" max="14593" width="10.375" style="13" customWidth="1"/>
    <col min="14594" max="14594" width="4" style="13" customWidth="1"/>
    <col min="14595" max="14595" width="23.625" style="13" customWidth="1"/>
    <col min="14596" max="14599" width="10.75" style="13" customWidth="1"/>
    <col min="14600" max="14600" width="10.5" style="13" customWidth="1"/>
    <col min="14601" max="14808" width="9" style="13"/>
    <col min="14809" max="14809" width="5.875" style="13" customWidth="1"/>
    <col min="14810" max="14810" width="10.375" style="13" customWidth="1"/>
    <col min="14811" max="14811" width="15.25" style="13" customWidth="1"/>
    <col min="14812" max="14812" width="13.75" style="13" customWidth="1"/>
    <col min="14813" max="14816" width="11.25" style="13" customWidth="1"/>
    <col min="14817" max="14817" width="11" style="13" customWidth="1"/>
    <col min="14818" max="14848" width="9" style="13"/>
    <col min="14849" max="14849" width="10.375" style="13" customWidth="1"/>
    <col min="14850" max="14850" width="4" style="13" customWidth="1"/>
    <col min="14851" max="14851" width="23.625" style="13" customWidth="1"/>
    <col min="14852" max="14855" width="10.75" style="13" customWidth="1"/>
    <col min="14856" max="14856" width="10.5" style="13" customWidth="1"/>
    <col min="14857" max="15064" width="9" style="13"/>
    <col min="15065" max="15065" width="5.875" style="13" customWidth="1"/>
    <col min="15066" max="15066" width="10.375" style="13" customWidth="1"/>
    <col min="15067" max="15067" width="15.25" style="13" customWidth="1"/>
    <col min="15068" max="15068" width="13.75" style="13" customWidth="1"/>
    <col min="15069" max="15072" width="11.25" style="13" customWidth="1"/>
    <col min="15073" max="15073" width="11" style="13" customWidth="1"/>
    <col min="15074" max="15104" width="9" style="13"/>
    <col min="15105" max="15105" width="10.375" style="13" customWidth="1"/>
    <col min="15106" max="15106" width="4" style="13" customWidth="1"/>
    <col min="15107" max="15107" width="23.625" style="13" customWidth="1"/>
    <col min="15108" max="15111" width="10.75" style="13" customWidth="1"/>
    <col min="15112" max="15112" width="10.5" style="13" customWidth="1"/>
    <col min="15113" max="15320" width="9" style="13"/>
    <col min="15321" max="15321" width="5.875" style="13" customWidth="1"/>
    <col min="15322" max="15322" width="10.375" style="13" customWidth="1"/>
    <col min="15323" max="15323" width="15.25" style="13" customWidth="1"/>
    <col min="15324" max="15324" width="13.75" style="13" customWidth="1"/>
    <col min="15325" max="15328" width="11.25" style="13" customWidth="1"/>
    <col min="15329" max="15329" width="11" style="13" customWidth="1"/>
    <col min="15330" max="15360" width="9" style="13"/>
    <col min="15361" max="15361" width="10.375" style="13" customWidth="1"/>
    <col min="15362" max="15362" width="4" style="13" customWidth="1"/>
    <col min="15363" max="15363" width="23.625" style="13" customWidth="1"/>
    <col min="15364" max="15367" width="10.75" style="13" customWidth="1"/>
    <col min="15368" max="15368" width="10.5" style="13" customWidth="1"/>
    <col min="15369" max="15576" width="9" style="13"/>
    <col min="15577" max="15577" width="5.875" style="13" customWidth="1"/>
    <col min="15578" max="15578" width="10.375" style="13" customWidth="1"/>
    <col min="15579" max="15579" width="15.25" style="13" customWidth="1"/>
    <col min="15580" max="15580" width="13.75" style="13" customWidth="1"/>
    <col min="15581" max="15584" width="11.25" style="13" customWidth="1"/>
    <col min="15585" max="15585" width="11" style="13" customWidth="1"/>
    <col min="15586" max="15616" width="9" style="13"/>
    <col min="15617" max="15617" width="10.375" style="13" customWidth="1"/>
    <col min="15618" max="15618" width="4" style="13" customWidth="1"/>
    <col min="15619" max="15619" width="23.625" style="13" customWidth="1"/>
    <col min="15620" max="15623" width="10.75" style="13" customWidth="1"/>
    <col min="15624" max="15624" width="10.5" style="13" customWidth="1"/>
    <col min="15625" max="15832" width="9" style="13"/>
    <col min="15833" max="15833" width="5.875" style="13" customWidth="1"/>
    <col min="15834" max="15834" width="10.375" style="13" customWidth="1"/>
    <col min="15835" max="15835" width="15.25" style="13" customWidth="1"/>
    <col min="15836" max="15836" width="13.75" style="13" customWidth="1"/>
    <col min="15837" max="15840" width="11.25" style="13" customWidth="1"/>
    <col min="15841" max="15841" width="11" style="13" customWidth="1"/>
    <col min="15842" max="15872" width="9" style="13"/>
    <col min="15873" max="15873" width="10.375" style="13" customWidth="1"/>
    <col min="15874" max="15874" width="4" style="13" customWidth="1"/>
    <col min="15875" max="15875" width="23.625" style="13" customWidth="1"/>
    <col min="15876" max="15879" width="10.75" style="13" customWidth="1"/>
    <col min="15880" max="15880" width="10.5" style="13" customWidth="1"/>
    <col min="15881" max="16088" width="9" style="13"/>
    <col min="16089" max="16089" width="5.875" style="13" customWidth="1"/>
    <col min="16090" max="16090" width="10.375" style="13" customWidth="1"/>
    <col min="16091" max="16091" width="15.25" style="13" customWidth="1"/>
    <col min="16092" max="16092" width="13.75" style="13" customWidth="1"/>
    <col min="16093" max="16096" width="11.25" style="13" customWidth="1"/>
    <col min="16097" max="16097" width="11" style="13" customWidth="1"/>
    <col min="16098" max="16128" width="9" style="13"/>
    <col min="16129" max="16129" width="10.375" style="13" customWidth="1"/>
    <col min="16130" max="16130" width="4" style="13" customWidth="1"/>
    <col min="16131" max="16131" width="23.625" style="13" customWidth="1"/>
    <col min="16132" max="16135" width="10.75" style="13" customWidth="1"/>
    <col min="16136" max="16136" width="10.5" style="13" customWidth="1"/>
    <col min="16137" max="16344" width="9" style="13"/>
    <col min="16345" max="16345" width="5.875" style="13" customWidth="1"/>
    <col min="16346" max="16346" width="10.375" style="13" customWidth="1"/>
    <col min="16347" max="16347" width="15.25" style="13" customWidth="1"/>
    <col min="16348" max="16348" width="13.75" style="13" customWidth="1"/>
    <col min="16349" max="16352" width="11.25" style="13" customWidth="1"/>
    <col min="16353" max="16353" width="11" style="13" customWidth="1"/>
    <col min="16354" max="16384" width="9" style="13"/>
  </cols>
  <sheetData>
    <row r="1" spans="1:8" x14ac:dyDescent="0.35">
      <c r="A1" s="221" t="s">
        <v>82</v>
      </c>
      <c r="B1" s="221"/>
      <c r="C1" s="221"/>
      <c r="D1" s="221"/>
      <c r="E1" s="221"/>
      <c r="F1" s="221"/>
      <c r="G1" s="221"/>
      <c r="H1" s="221"/>
    </row>
    <row r="2" spans="1:8" x14ac:dyDescent="0.35">
      <c r="A2" s="221" t="s">
        <v>88</v>
      </c>
      <c r="B2" s="221"/>
      <c r="C2" s="221"/>
      <c r="D2" s="221"/>
      <c r="E2" s="221"/>
      <c r="F2" s="221"/>
      <c r="G2" s="221"/>
      <c r="H2" s="221"/>
    </row>
    <row r="3" spans="1:8" x14ac:dyDescent="0.35">
      <c r="A3" s="302" t="s">
        <v>83</v>
      </c>
      <c r="B3" s="302"/>
      <c r="C3" s="302"/>
      <c r="D3" s="302"/>
      <c r="E3" s="302"/>
      <c r="F3" s="302"/>
      <c r="G3" s="302"/>
      <c r="H3" s="302"/>
    </row>
    <row r="4" spans="1:8" s="148" customFormat="1" x14ac:dyDescent="0.35">
      <c r="A4" s="146" t="s">
        <v>84</v>
      </c>
      <c r="B4" s="146" t="s">
        <v>62</v>
      </c>
      <c r="C4" s="147" t="s">
        <v>39</v>
      </c>
      <c r="D4" s="146" t="s">
        <v>45</v>
      </c>
      <c r="E4" s="146" t="s">
        <v>85</v>
      </c>
      <c r="F4" s="146" t="s">
        <v>45</v>
      </c>
      <c r="G4" s="146" t="s">
        <v>86</v>
      </c>
      <c r="H4" s="146" t="s">
        <v>4</v>
      </c>
    </row>
    <row r="5" spans="1:8" x14ac:dyDescent="0.35">
      <c r="A5" s="149"/>
      <c r="B5" s="149"/>
      <c r="C5" s="150"/>
      <c r="D5" s="149"/>
      <c r="E5" s="149"/>
      <c r="F5" s="149"/>
      <c r="G5" s="149"/>
      <c r="H5" s="149"/>
    </row>
    <row r="6" spans="1:8" x14ac:dyDescent="0.35">
      <c r="A6" s="149"/>
      <c r="B6" s="149"/>
      <c r="C6" s="150"/>
      <c r="D6" s="149"/>
      <c r="E6" s="149"/>
      <c r="F6" s="149"/>
      <c r="G6" s="149"/>
      <c r="H6" s="149"/>
    </row>
    <row r="7" spans="1:8" x14ac:dyDescent="0.35">
      <c r="A7" s="149"/>
      <c r="B7" s="149"/>
      <c r="C7" s="150"/>
      <c r="D7" s="149"/>
      <c r="E7" s="149"/>
      <c r="F7" s="149"/>
      <c r="G7" s="149"/>
      <c r="H7" s="149"/>
    </row>
    <row r="8" spans="1:8" x14ac:dyDescent="0.35">
      <c r="A8" s="149"/>
      <c r="B8" s="149"/>
      <c r="C8" s="150"/>
      <c r="D8" s="149"/>
      <c r="E8" s="149"/>
      <c r="F8" s="149"/>
      <c r="G8" s="149"/>
      <c r="H8" s="149"/>
    </row>
    <row r="9" spans="1:8" x14ac:dyDescent="0.35">
      <c r="A9" s="149"/>
      <c r="B9" s="149"/>
      <c r="C9" s="150"/>
      <c r="D9" s="149"/>
      <c r="E9" s="149"/>
      <c r="F9" s="149"/>
      <c r="G9" s="149"/>
      <c r="H9" s="149"/>
    </row>
    <row r="10" spans="1:8" x14ac:dyDescent="0.35">
      <c r="A10" s="149"/>
      <c r="B10" s="149"/>
      <c r="C10" s="150"/>
      <c r="D10" s="149"/>
      <c r="E10" s="149"/>
      <c r="F10" s="149"/>
      <c r="G10" s="149"/>
      <c r="H10" s="149"/>
    </row>
    <row r="11" spans="1:8" x14ac:dyDescent="0.35">
      <c r="A11" s="149"/>
      <c r="B11" s="149"/>
      <c r="C11" s="150"/>
      <c r="D11" s="149"/>
      <c r="E11" s="149"/>
      <c r="F11" s="149"/>
      <c r="G11" s="149"/>
      <c r="H11" s="149"/>
    </row>
    <row r="12" spans="1:8" x14ac:dyDescent="0.35">
      <c r="A12" s="149"/>
      <c r="B12" s="149"/>
      <c r="C12" s="150"/>
      <c r="D12" s="149"/>
      <c r="E12" s="149"/>
      <c r="F12" s="149"/>
      <c r="G12" s="149"/>
      <c r="H12" s="149"/>
    </row>
    <row r="13" spans="1:8" x14ac:dyDescent="0.35">
      <c r="A13" s="149"/>
      <c r="B13" s="149"/>
      <c r="C13" s="150"/>
      <c r="D13" s="149"/>
      <c r="E13" s="149"/>
      <c r="F13" s="149"/>
      <c r="G13" s="149"/>
      <c r="H13" s="149"/>
    </row>
    <row r="14" spans="1:8" x14ac:dyDescent="0.35">
      <c r="A14" s="149"/>
      <c r="B14" s="149"/>
      <c r="C14" s="150"/>
      <c r="D14" s="149"/>
      <c r="E14" s="149"/>
      <c r="F14" s="149"/>
      <c r="G14" s="149"/>
      <c r="H14" s="149"/>
    </row>
    <row r="15" spans="1:8" x14ac:dyDescent="0.35">
      <c r="A15" s="149"/>
      <c r="B15" s="149"/>
      <c r="C15" s="150"/>
      <c r="D15" s="149"/>
      <c r="E15" s="149"/>
      <c r="F15" s="149"/>
      <c r="G15" s="149"/>
      <c r="H15" s="149"/>
    </row>
    <row r="16" spans="1:8" x14ac:dyDescent="0.35">
      <c r="A16" s="149"/>
      <c r="B16" s="149"/>
      <c r="C16" s="150"/>
      <c r="D16" s="149"/>
      <c r="E16" s="149"/>
      <c r="F16" s="149"/>
      <c r="G16" s="149"/>
      <c r="H16" s="149"/>
    </row>
    <row r="17" spans="1:8" x14ac:dyDescent="0.35">
      <c r="A17" s="149"/>
      <c r="B17" s="149"/>
      <c r="C17" s="150"/>
      <c r="D17" s="149"/>
      <c r="E17" s="149"/>
      <c r="F17" s="149"/>
      <c r="G17" s="149"/>
      <c r="H17" s="149"/>
    </row>
    <row r="18" spans="1:8" x14ac:dyDescent="0.35">
      <c r="A18" s="149"/>
      <c r="B18" s="149"/>
      <c r="C18" s="150"/>
      <c r="D18" s="149"/>
      <c r="E18" s="149"/>
      <c r="F18" s="149"/>
      <c r="G18" s="149"/>
      <c r="H18" s="149"/>
    </row>
    <row r="19" spans="1:8" x14ac:dyDescent="0.35">
      <c r="A19" s="149"/>
      <c r="B19" s="149"/>
      <c r="C19" s="150"/>
      <c r="D19" s="149"/>
      <c r="E19" s="149"/>
      <c r="F19" s="149"/>
      <c r="G19" s="149"/>
      <c r="H19" s="149"/>
    </row>
    <row r="20" spans="1:8" x14ac:dyDescent="0.35">
      <c r="A20" s="149"/>
      <c r="B20" s="149"/>
      <c r="C20" s="150"/>
      <c r="D20" s="149"/>
      <c r="E20" s="149"/>
      <c r="F20" s="149"/>
      <c r="G20" s="149"/>
      <c r="H20" s="149"/>
    </row>
    <row r="21" spans="1:8" x14ac:dyDescent="0.35">
      <c r="A21" s="149"/>
      <c r="B21" s="149"/>
      <c r="C21" s="150"/>
      <c r="D21" s="149"/>
      <c r="E21" s="149"/>
      <c r="F21" s="149"/>
      <c r="G21" s="149"/>
      <c r="H21" s="149"/>
    </row>
    <row r="22" spans="1:8" x14ac:dyDescent="0.35">
      <c r="A22" s="149"/>
      <c r="B22" s="149"/>
      <c r="C22" s="150"/>
      <c r="D22" s="149"/>
      <c r="E22" s="149"/>
      <c r="F22" s="149"/>
      <c r="G22" s="149"/>
      <c r="H22" s="149"/>
    </row>
    <row r="23" spans="1:8" x14ac:dyDescent="0.35">
      <c r="A23" s="149"/>
      <c r="B23" s="149"/>
      <c r="C23" s="150"/>
      <c r="D23" s="149"/>
      <c r="E23" s="149"/>
      <c r="F23" s="149"/>
      <c r="G23" s="149"/>
      <c r="H23" s="149"/>
    </row>
    <row r="24" spans="1:8" x14ac:dyDescent="0.35">
      <c r="A24" s="149"/>
      <c r="B24" s="149"/>
      <c r="C24" s="150"/>
      <c r="D24" s="149"/>
      <c r="E24" s="149"/>
      <c r="F24" s="149"/>
      <c r="G24" s="149"/>
      <c r="H24" s="149"/>
    </row>
    <row r="25" spans="1:8" x14ac:dyDescent="0.35">
      <c r="A25" s="149"/>
      <c r="B25" s="149"/>
      <c r="C25" s="150"/>
      <c r="D25" s="149"/>
      <c r="E25" s="149"/>
      <c r="F25" s="149"/>
      <c r="G25" s="149"/>
      <c r="H25" s="149"/>
    </row>
    <row r="26" spans="1:8" x14ac:dyDescent="0.35">
      <c r="A26" s="149"/>
      <c r="B26" s="149"/>
      <c r="C26" s="150"/>
      <c r="D26" s="149"/>
      <c r="E26" s="149"/>
      <c r="F26" s="149"/>
      <c r="G26" s="149"/>
      <c r="H26" s="149"/>
    </row>
    <row r="27" spans="1:8" x14ac:dyDescent="0.35">
      <c r="A27" s="149"/>
      <c r="B27" s="149"/>
      <c r="C27" s="150"/>
      <c r="D27" s="149"/>
      <c r="E27" s="149"/>
      <c r="F27" s="149"/>
      <c r="G27" s="149"/>
      <c r="H27" s="149"/>
    </row>
    <row r="28" spans="1:8" x14ac:dyDescent="0.35">
      <c r="A28" s="149"/>
      <c r="B28" s="149"/>
      <c r="C28" s="150"/>
      <c r="D28" s="149"/>
      <c r="E28" s="149"/>
      <c r="F28" s="149"/>
      <c r="G28" s="149"/>
      <c r="H28" s="149"/>
    </row>
    <row r="29" spans="1:8" x14ac:dyDescent="0.35">
      <c r="A29" s="149"/>
      <c r="B29" s="149"/>
      <c r="C29" s="150"/>
      <c r="D29" s="149"/>
      <c r="E29" s="149"/>
      <c r="F29" s="149"/>
      <c r="G29" s="149"/>
      <c r="H29" s="149"/>
    </row>
    <row r="30" spans="1:8" x14ac:dyDescent="0.35">
      <c r="A30" s="149"/>
      <c r="B30" s="149"/>
      <c r="C30" s="150"/>
      <c r="D30" s="149"/>
      <c r="E30" s="149"/>
      <c r="F30" s="149"/>
      <c r="G30" s="149"/>
      <c r="H30" s="149"/>
    </row>
    <row r="31" spans="1:8" x14ac:dyDescent="0.35">
      <c r="A31" s="149"/>
      <c r="B31" s="149"/>
      <c r="C31" s="150"/>
      <c r="D31" s="149"/>
      <c r="E31" s="149"/>
      <c r="F31" s="149"/>
      <c r="G31" s="149"/>
      <c r="H31" s="149"/>
    </row>
    <row r="32" spans="1:8" x14ac:dyDescent="0.35">
      <c r="A32" s="149"/>
      <c r="B32" s="149"/>
      <c r="C32" s="150"/>
      <c r="D32" s="149"/>
      <c r="E32" s="149"/>
      <c r="F32" s="149"/>
      <c r="G32" s="149"/>
      <c r="H32" s="149"/>
    </row>
    <row r="33" spans="1:8" x14ac:dyDescent="0.35">
      <c r="A33" s="151"/>
      <c r="B33" s="151"/>
      <c r="C33" s="152"/>
      <c r="D33" s="151"/>
      <c r="E33" s="151"/>
      <c r="F33" s="151"/>
      <c r="G33" s="151"/>
      <c r="H33" s="151"/>
    </row>
    <row r="35" spans="1:8" x14ac:dyDescent="0.35">
      <c r="E35" s="13" t="s">
        <v>87</v>
      </c>
    </row>
    <row r="36" spans="1:8" x14ac:dyDescent="0.35">
      <c r="E36" s="110" t="s">
        <v>118</v>
      </c>
    </row>
    <row r="37" spans="1:8" x14ac:dyDescent="0.35">
      <c r="E37" s="110" t="s">
        <v>22</v>
      </c>
    </row>
  </sheetData>
  <mergeCells count="3">
    <mergeCell ref="A1:H1"/>
    <mergeCell ref="A2:H2"/>
    <mergeCell ref="A3:H3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99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5494-E66F-4C45-8ED1-066CB5D8D48E}">
  <dimension ref="A1:H40"/>
  <sheetViews>
    <sheetView workbookViewId="0">
      <selection activeCell="J38" sqref="J38"/>
    </sheetView>
  </sheetViews>
  <sheetFormatPr defaultRowHeight="21" x14ac:dyDescent="0.35"/>
  <cols>
    <col min="1" max="1" width="17" style="138" customWidth="1"/>
    <col min="2" max="2" width="9.75" style="138" customWidth="1"/>
    <col min="3" max="3" width="6.125" style="138" customWidth="1"/>
    <col min="4" max="4" width="14.25" style="138" customWidth="1"/>
    <col min="5" max="5" width="5.75" style="138" customWidth="1"/>
    <col min="6" max="16384" width="9" style="138"/>
  </cols>
  <sheetData>
    <row r="1" spans="1:8" ht="23.25" x14ac:dyDescent="0.35">
      <c r="A1" s="306" t="s">
        <v>81</v>
      </c>
      <c r="B1" s="306"/>
      <c r="C1" s="306"/>
      <c r="D1" s="306"/>
      <c r="E1" s="306"/>
      <c r="F1" s="306"/>
      <c r="G1" s="306"/>
      <c r="H1" s="306"/>
    </row>
    <row r="2" spans="1:8" s="139" customFormat="1" ht="18.75" x14ac:dyDescent="0.3">
      <c r="A2" s="307" t="s">
        <v>80</v>
      </c>
      <c r="B2" s="307"/>
      <c r="C2" s="307"/>
      <c r="D2" s="307"/>
      <c r="E2" s="307"/>
      <c r="F2" s="307"/>
      <c r="G2" s="307"/>
      <c r="H2" s="307"/>
    </row>
    <row r="3" spans="1:8" s="139" customFormat="1" ht="18.75" x14ac:dyDescent="0.3">
      <c r="A3" s="307" t="s">
        <v>79</v>
      </c>
      <c r="B3" s="307"/>
      <c r="C3" s="307"/>
      <c r="D3" s="307"/>
      <c r="E3" s="307"/>
      <c r="F3" s="307"/>
      <c r="G3" s="307"/>
      <c r="H3" s="307"/>
    </row>
    <row r="4" spans="1:8" s="139" customFormat="1" ht="18.75" x14ac:dyDescent="0.3"/>
    <row r="5" spans="1:8" s="139" customFormat="1" ht="18.75" x14ac:dyDescent="0.3">
      <c r="A5" s="140" t="s">
        <v>64</v>
      </c>
      <c r="B5" s="304"/>
      <c r="C5" s="304"/>
      <c r="D5" s="304"/>
      <c r="E5" s="139" t="s">
        <v>2</v>
      </c>
      <c r="F5" s="304"/>
      <c r="G5" s="304"/>
      <c r="H5" s="304"/>
    </row>
    <row r="6" spans="1:8" s="139" customFormat="1" ht="18.75" x14ac:dyDescent="0.3">
      <c r="A6" s="140" t="s">
        <v>65</v>
      </c>
      <c r="B6" s="141"/>
      <c r="C6" s="139" t="s">
        <v>66</v>
      </c>
      <c r="D6" s="142"/>
      <c r="E6" s="139" t="s">
        <v>67</v>
      </c>
      <c r="F6" s="304"/>
      <c r="G6" s="304"/>
      <c r="H6" s="304"/>
    </row>
    <row r="7" spans="1:8" s="139" customFormat="1" ht="18.75" x14ac:dyDescent="0.3">
      <c r="A7" s="143" t="s">
        <v>68</v>
      </c>
      <c r="B7" s="304"/>
      <c r="C7" s="304"/>
      <c r="D7" s="304"/>
      <c r="E7" s="142"/>
      <c r="F7" s="142"/>
      <c r="G7" s="142"/>
      <c r="H7" s="142"/>
    </row>
    <row r="8" spans="1:8" s="139" customFormat="1" ht="18.75" x14ac:dyDescent="0.3">
      <c r="A8" s="143" t="s">
        <v>69</v>
      </c>
      <c r="B8" s="305"/>
      <c r="C8" s="305"/>
      <c r="D8" s="305"/>
      <c r="E8" s="139" t="s">
        <v>70</v>
      </c>
    </row>
    <row r="9" spans="1:8" s="139" customFormat="1" ht="18.75" x14ac:dyDescent="0.3"/>
    <row r="10" spans="1:8" s="139" customFormat="1" ht="27" customHeight="1" x14ac:dyDescent="0.3">
      <c r="E10" s="140" t="s">
        <v>71</v>
      </c>
      <c r="F10" s="304"/>
      <c r="G10" s="304"/>
      <c r="H10" s="139" t="s">
        <v>72</v>
      </c>
    </row>
    <row r="11" spans="1:8" s="139" customFormat="1" ht="18.75" x14ac:dyDescent="0.3">
      <c r="E11" s="139" t="s">
        <v>78</v>
      </c>
    </row>
    <row r="12" spans="1:8" s="139" customFormat="1" ht="27" customHeight="1" x14ac:dyDescent="0.3">
      <c r="E12" s="140" t="s">
        <v>71</v>
      </c>
      <c r="F12" s="304"/>
      <c r="G12" s="304"/>
      <c r="H12" s="139" t="s">
        <v>73</v>
      </c>
    </row>
    <row r="13" spans="1:8" s="139" customFormat="1" ht="18.75" x14ac:dyDescent="0.3">
      <c r="E13" s="139" t="s">
        <v>78</v>
      </c>
    </row>
    <row r="14" spans="1:8" s="139" customFormat="1" ht="18.75" x14ac:dyDescent="0.3">
      <c r="A14" s="303" t="s">
        <v>74</v>
      </c>
      <c r="B14" s="303"/>
    </row>
    <row r="15" spans="1:8" s="139" customFormat="1" ht="18.75" x14ac:dyDescent="0.3">
      <c r="A15" s="139" t="s">
        <v>76</v>
      </c>
      <c r="B15" s="139" t="s">
        <v>77</v>
      </c>
    </row>
    <row r="16" spans="1:8" s="139" customFormat="1" ht="30" customHeight="1" x14ac:dyDescent="0.3">
      <c r="A16" s="139" t="s">
        <v>75</v>
      </c>
    </row>
    <row r="17" spans="1:8" s="139" customFormat="1" ht="18.75" x14ac:dyDescent="0.3">
      <c r="A17" s="303" t="s">
        <v>94</v>
      </c>
      <c r="B17" s="303"/>
    </row>
    <row r="18" spans="1:8" s="139" customFormat="1" ht="18.75" x14ac:dyDescent="0.3">
      <c r="A18" s="303" t="s">
        <v>95</v>
      </c>
      <c r="B18" s="303"/>
    </row>
    <row r="19" spans="1:8" s="139" customFormat="1" ht="18.75" x14ac:dyDescent="0.3">
      <c r="A19" s="303" t="s">
        <v>96</v>
      </c>
      <c r="B19" s="303"/>
    </row>
    <row r="20" spans="1:8" x14ac:dyDescent="0.35">
      <c r="A20" s="144"/>
      <c r="B20" s="144"/>
      <c r="C20" s="144"/>
      <c r="D20" s="144"/>
      <c r="E20" s="144"/>
      <c r="F20" s="144"/>
      <c r="G20" s="144"/>
      <c r="H20" s="144"/>
    </row>
    <row r="21" spans="1:8" ht="23.25" x14ac:dyDescent="0.35">
      <c r="A21" s="306" t="s">
        <v>81</v>
      </c>
      <c r="B21" s="306"/>
      <c r="C21" s="306"/>
      <c r="D21" s="306"/>
      <c r="E21" s="306"/>
      <c r="F21" s="306"/>
      <c r="G21" s="306"/>
      <c r="H21" s="306"/>
    </row>
    <row r="22" spans="1:8" s="139" customFormat="1" ht="18.75" x14ac:dyDescent="0.3">
      <c r="A22" s="307" t="s">
        <v>80</v>
      </c>
      <c r="B22" s="307"/>
      <c r="C22" s="307"/>
      <c r="D22" s="307"/>
      <c r="E22" s="307"/>
      <c r="F22" s="307"/>
      <c r="G22" s="307"/>
      <c r="H22" s="307"/>
    </row>
    <row r="23" spans="1:8" s="139" customFormat="1" ht="18.75" x14ac:dyDescent="0.3">
      <c r="A23" s="307" t="s">
        <v>79</v>
      </c>
      <c r="B23" s="307"/>
      <c r="C23" s="307"/>
      <c r="D23" s="307"/>
      <c r="E23" s="307"/>
      <c r="F23" s="307"/>
      <c r="G23" s="307"/>
      <c r="H23" s="307"/>
    </row>
    <row r="24" spans="1:8" s="139" customFormat="1" ht="18.75" x14ac:dyDescent="0.3"/>
    <row r="25" spans="1:8" s="139" customFormat="1" ht="18.75" x14ac:dyDescent="0.3">
      <c r="A25" s="140" t="s">
        <v>64</v>
      </c>
      <c r="B25" s="304"/>
      <c r="C25" s="304"/>
      <c r="D25" s="304"/>
      <c r="E25" s="139" t="s">
        <v>2</v>
      </c>
      <c r="F25" s="304"/>
      <c r="G25" s="304"/>
      <c r="H25" s="304"/>
    </row>
    <row r="26" spans="1:8" s="139" customFormat="1" ht="18.75" x14ac:dyDescent="0.3">
      <c r="A26" s="140" t="s">
        <v>65</v>
      </c>
      <c r="B26" s="141"/>
      <c r="C26" s="139" t="s">
        <v>66</v>
      </c>
      <c r="D26" s="142"/>
      <c r="E26" s="139" t="s">
        <v>67</v>
      </c>
      <c r="F26" s="304"/>
      <c r="G26" s="304"/>
      <c r="H26" s="304"/>
    </row>
    <row r="27" spans="1:8" s="139" customFormat="1" ht="18.75" x14ac:dyDescent="0.3">
      <c r="A27" s="143" t="s">
        <v>68</v>
      </c>
      <c r="B27" s="304"/>
      <c r="C27" s="304"/>
      <c r="D27" s="304"/>
      <c r="E27" s="142"/>
      <c r="F27" s="142"/>
      <c r="G27" s="142"/>
      <c r="H27" s="142"/>
    </row>
    <row r="28" spans="1:8" s="139" customFormat="1" ht="18.75" x14ac:dyDescent="0.3">
      <c r="A28" s="143" t="s">
        <v>69</v>
      </c>
      <c r="B28" s="305"/>
      <c r="C28" s="305"/>
      <c r="D28" s="305"/>
      <c r="E28" s="139" t="s">
        <v>70</v>
      </c>
    </row>
    <row r="29" spans="1:8" s="139" customFormat="1" ht="18.75" x14ac:dyDescent="0.3"/>
    <row r="30" spans="1:8" s="139" customFormat="1" ht="27" customHeight="1" x14ac:dyDescent="0.3">
      <c r="E30" s="140" t="s">
        <v>71</v>
      </c>
      <c r="F30" s="304"/>
      <c r="G30" s="304"/>
      <c r="H30" s="139" t="s">
        <v>72</v>
      </c>
    </row>
    <row r="31" spans="1:8" s="139" customFormat="1" ht="18.75" x14ac:dyDescent="0.3">
      <c r="E31" s="139" t="s">
        <v>78</v>
      </c>
    </row>
    <row r="32" spans="1:8" s="139" customFormat="1" ht="27" customHeight="1" x14ac:dyDescent="0.3">
      <c r="E32" s="140" t="s">
        <v>71</v>
      </c>
      <c r="F32" s="304"/>
      <c r="G32" s="304"/>
      <c r="H32" s="139" t="s">
        <v>73</v>
      </c>
    </row>
    <row r="33" spans="1:5" s="139" customFormat="1" ht="18.75" x14ac:dyDescent="0.3">
      <c r="E33" s="139" t="s">
        <v>78</v>
      </c>
    </row>
    <row r="34" spans="1:5" s="139" customFormat="1" ht="18.75" x14ac:dyDescent="0.3">
      <c r="A34" s="303" t="s">
        <v>74</v>
      </c>
      <c r="B34" s="303"/>
    </row>
    <row r="35" spans="1:5" s="139" customFormat="1" ht="18.75" x14ac:dyDescent="0.3">
      <c r="A35" s="139" t="s">
        <v>76</v>
      </c>
      <c r="B35" s="139" t="s">
        <v>77</v>
      </c>
    </row>
    <row r="36" spans="1:5" s="139" customFormat="1" ht="30" customHeight="1" x14ac:dyDescent="0.3">
      <c r="A36" s="139" t="s">
        <v>75</v>
      </c>
    </row>
    <row r="37" spans="1:5" s="139" customFormat="1" ht="18.75" x14ac:dyDescent="0.3">
      <c r="A37" s="303" t="s">
        <v>94</v>
      </c>
      <c r="B37" s="303"/>
    </row>
    <row r="38" spans="1:5" s="139" customFormat="1" ht="18.75" x14ac:dyDescent="0.3">
      <c r="A38" s="303" t="s">
        <v>95</v>
      </c>
      <c r="B38" s="303"/>
    </row>
    <row r="39" spans="1:5" s="139" customFormat="1" ht="18.75" x14ac:dyDescent="0.3">
      <c r="A39" s="303" t="s">
        <v>96</v>
      </c>
      <c r="B39" s="303"/>
    </row>
    <row r="40" spans="1:5" s="139" customFormat="1" ht="18.75" x14ac:dyDescent="0.3">
      <c r="A40" s="303"/>
      <c r="B40" s="303"/>
    </row>
  </sheetData>
  <mergeCells count="29">
    <mergeCell ref="B7:D7"/>
    <mergeCell ref="B8:D8"/>
    <mergeCell ref="A1:H1"/>
    <mergeCell ref="A2:H2"/>
    <mergeCell ref="A3:H3"/>
    <mergeCell ref="B5:D5"/>
    <mergeCell ref="F5:H5"/>
    <mergeCell ref="F6:H6"/>
    <mergeCell ref="F10:G10"/>
    <mergeCell ref="A14:B14"/>
    <mergeCell ref="A17:B17"/>
    <mergeCell ref="A18:B18"/>
    <mergeCell ref="A19:B19"/>
    <mergeCell ref="F12:G12"/>
    <mergeCell ref="B27:D27"/>
    <mergeCell ref="B28:D28"/>
    <mergeCell ref="F30:G30"/>
    <mergeCell ref="A38:B38"/>
    <mergeCell ref="A21:H21"/>
    <mergeCell ref="A22:H22"/>
    <mergeCell ref="A23:H23"/>
    <mergeCell ref="B25:D25"/>
    <mergeCell ref="F25:H25"/>
    <mergeCell ref="F26:H26"/>
    <mergeCell ref="A39:B39"/>
    <mergeCell ref="A40:B40"/>
    <mergeCell ref="F32:G32"/>
    <mergeCell ref="A34:B34"/>
    <mergeCell ref="A37:B37"/>
  </mergeCells>
  <printOptions horizontalCentered="1"/>
  <pageMargins left="0.51181102362204722" right="0.51181102362204722" top="0.15748031496062992" bottom="0.15748031496062992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ขอขึ้น OT</vt:lpstr>
      <vt:lpstr>ขอขึ้น OT (ผลัด)</vt:lpstr>
      <vt:lpstr>ขอเบิก OT (ผลัด8)</vt:lpstr>
      <vt:lpstr>ขอเบิก OT สนับสนุน</vt:lpstr>
      <vt:lpstr>ขอเบิก OT หัตถการ (แพทย์)</vt:lpstr>
      <vt:lpstr>ขอเบิก OT WL (พยาบาล)</vt:lpstr>
      <vt:lpstr>ขอเบิก OT จนท.นับชม.</vt:lpstr>
      <vt:lpstr>ใบลงเวลา</vt:lpstr>
      <vt:lpstr>ใบเปลี่ยนเวร</vt:lpstr>
      <vt:lpstr>'ขอเบิก OT (ผลัด8)'!Print_Area</vt:lpstr>
      <vt:lpstr>'ขอเบิก OT WL (พยาบาล)'!Print_Area</vt:lpstr>
      <vt:lpstr>'ขอเบิก OT จนท.นับชม.'!Print_Area</vt:lpstr>
      <vt:lpstr>'ขอเบิก OT สนับสนุน'!Print_Area</vt:lpstr>
      <vt:lpstr>'ขอเบิก OT หัตถการ (แพทย์)'!Print_Area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cp:lastPrinted>2026-06-02T04:43:49Z</cp:lastPrinted>
  <dcterms:created xsi:type="dcterms:W3CDTF">2024-12-03T08:24:17Z</dcterms:created>
  <dcterms:modified xsi:type="dcterms:W3CDTF">2026-06-02T04:47:26Z</dcterms:modified>
</cp:coreProperties>
</file>